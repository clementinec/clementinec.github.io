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defaultThemeVersion="166925"/>
  <mc:AlternateContent xmlns:mc="http://schemas.openxmlformats.org/markup-compatibility/2006">
    <mc:Choice Requires="x15">
      <x15ac:absPath xmlns:x15ac="http://schemas.microsoft.com/office/spreadsheetml/2010/11/ac" url="https://hkuhk-my.sharepoint.com/personal/kcrolla_hku_hk/Documents/05 - SERVICE/05 - Conference Organisation/04 - CAADFutures 2025/09 - Conf Schedule/"/>
    </mc:Choice>
  </mc:AlternateContent>
  <xr:revisionPtr revIDLastSave="0" documentId="8_{7CAE7DB8-E275-485E-BA2E-8F2C5A8E114C}" xr6:coauthVersionLast="47" xr6:coauthVersionMax="47" xr10:uidLastSave="{00000000-0000-0000-0000-000000000000}"/>
  <bookViews>
    <workbookView xWindow="0" yWindow="760" windowWidth="34560" windowHeight="21580" xr2:uid="{DBC314BA-D060-4039-A7D0-C636C03B7B9D}"/>
  </bookViews>
  <sheets>
    <sheet name="FINAL" sheetId="2" r:id="rId1"/>
    <sheet name="(WIP)" sheetId="1" r:id="rId2"/>
  </sheets>
  <definedNames>
    <definedName name="_xlnm._FilterDatabase" localSheetId="1" hidden="1">'(WIP)'!$A$1:$A$426</definedName>
    <definedName name="_xlnm._FilterDatabase" localSheetId="0" hidden="1">FINAL!$A$1:$P$164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28" i="2" l="1"/>
  <c r="K71" i="2"/>
  <c r="G160" i="2"/>
  <c r="H160" i="2"/>
  <c r="H159" i="2"/>
  <c r="H158" i="2"/>
  <c r="H157" i="2"/>
  <c r="H156" i="2"/>
  <c r="H155" i="2"/>
  <c r="H151" i="2"/>
  <c r="H150" i="2"/>
  <c r="H149" i="2"/>
  <c r="H145" i="2"/>
  <c r="H144" i="2"/>
  <c r="H143" i="2"/>
  <c r="H142" i="2"/>
  <c r="H140" i="2"/>
  <c r="H139" i="2"/>
  <c r="H138" i="2"/>
  <c r="H137" i="2"/>
  <c r="H136" i="2"/>
  <c r="H134" i="2"/>
  <c r="H133" i="2"/>
  <c r="H132" i="2"/>
  <c r="H131" i="2"/>
  <c r="H130" i="2"/>
  <c r="H125" i="2"/>
  <c r="H124" i="2"/>
  <c r="H123" i="2"/>
  <c r="H113" i="2"/>
  <c r="H112" i="2"/>
  <c r="H111" i="2"/>
  <c r="H110" i="2"/>
  <c r="H107" i="2"/>
  <c r="H106" i="2"/>
  <c r="H105" i="2"/>
  <c r="H101" i="2"/>
  <c r="H100" i="2"/>
  <c r="H99" i="2"/>
  <c r="H98" i="2"/>
  <c r="H94" i="2"/>
  <c r="H93" i="2"/>
  <c r="H92" i="2"/>
  <c r="H91" i="2"/>
  <c r="H89" i="2"/>
  <c r="H88" i="2"/>
  <c r="H87" i="2"/>
  <c r="H86" i="2"/>
  <c r="H85" i="2"/>
  <c r="H83" i="2"/>
  <c r="H82" i="2"/>
  <c r="H81" i="2"/>
  <c r="H80" i="2"/>
  <c r="H79" i="2"/>
  <c r="H77" i="2"/>
  <c r="H76" i="2"/>
  <c r="H75" i="2"/>
  <c r="H74" i="2"/>
  <c r="H73" i="2"/>
  <c r="H68" i="2"/>
  <c r="H67" i="2"/>
  <c r="H66" i="2"/>
  <c r="H65" i="2"/>
  <c r="H53" i="2"/>
  <c r="H52" i="2"/>
  <c r="H51" i="2"/>
  <c r="H48" i="2"/>
  <c r="H47" i="2"/>
  <c r="H46" i="2"/>
  <c r="H45" i="2"/>
  <c r="H42" i="2"/>
  <c r="H41" i="2"/>
  <c r="H40" i="2"/>
  <c r="H39" i="2"/>
  <c r="H38" i="2"/>
  <c r="H36" i="2"/>
  <c r="H35" i="2"/>
  <c r="H34" i="2"/>
  <c r="H33" i="2"/>
  <c r="H32" i="2"/>
  <c r="H30" i="2"/>
  <c r="H29" i="2"/>
  <c r="H28" i="2"/>
  <c r="H27" i="2"/>
  <c r="H26" i="2"/>
  <c r="H24" i="2"/>
  <c r="H23" i="2"/>
  <c r="H22" i="2"/>
  <c r="H21" i="2"/>
  <c r="H16" i="2"/>
  <c r="H15" i="2"/>
  <c r="H14" i="2"/>
  <c r="G14" i="2"/>
  <c r="G15" i="2"/>
  <c r="G16" i="2"/>
  <c r="G21" i="2"/>
  <c r="G22" i="2"/>
  <c r="G23" i="2"/>
  <c r="G24" i="2"/>
  <c r="G26" i="2"/>
  <c r="G27" i="2"/>
  <c r="G28" i="2"/>
  <c r="G29" i="2"/>
  <c r="G30" i="2"/>
  <c r="G32" i="2"/>
  <c r="G33" i="2"/>
  <c r="G34" i="2"/>
  <c r="G35" i="2"/>
  <c r="G36" i="2"/>
  <c r="G38" i="2"/>
  <c r="G39" i="2"/>
  <c r="G40" i="2"/>
  <c r="G41" i="2"/>
  <c r="G42" i="2"/>
  <c r="G45" i="2"/>
  <c r="G46" i="2"/>
  <c r="G47" i="2"/>
  <c r="G48" i="2"/>
  <c r="G51" i="2"/>
  <c r="G52" i="2"/>
  <c r="G53" i="2"/>
  <c r="G65" i="2"/>
  <c r="G66" i="2"/>
  <c r="G67" i="2"/>
  <c r="G68" i="2"/>
  <c r="G73" i="2"/>
  <c r="G74" i="2"/>
  <c r="G75" i="2"/>
  <c r="G76" i="2"/>
  <c r="G77" i="2"/>
  <c r="G79" i="2"/>
  <c r="G80" i="2"/>
  <c r="G81" i="2"/>
  <c r="G82" i="2"/>
  <c r="G83" i="2"/>
  <c r="G85" i="2"/>
  <c r="G86" i="2"/>
  <c r="G87" i="2"/>
  <c r="G88" i="2"/>
  <c r="G89" i="2"/>
  <c r="G91" i="2"/>
  <c r="G92" i="2"/>
  <c r="G93" i="2"/>
  <c r="G94" i="2"/>
  <c r="G98" i="2"/>
  <c r="G99" i="2"/>
  <c r="G100" i="2"/>
  <c r="G101" i="2"/>
  <c r="G105" i="2"/>
  <c r="G106" i="2"/>
  <c r="G107" i="2"/>
  <c r="G110" i="2"/>
  <c r="G111" i="2"/>
  <c r="G112" i="2"/>
  <c r="G113" i="2"/>
  <c r="G123" i="2"/>
  <c r="G124" i="2"/>
  <c r="G125" i="2"/>
  <c r="G130" i="2"/>
  <c r="G131" i="2"/>
  <c r="G132" i="2"/>
  <c r="G133" i="2"/>
  <c r="G134" i="2"/>
  <c r="G136" i="2"/>
  <c r="G137" i="2"/>
  <c r="G138" i="2"/>
  <c r="G139" i="2"/>
  <c r="G140" i="2"/>
  <c r="G142" i="2"/>
  <c r="G143" i="2"/>
  <c r="G144" i="2"/>
  <c r="G145" i="2"/>
  <c r="G149" i="2"/>
  <c r="G150" i="2"/>
  <c r="G151" i="2"/>
  <c r="G155" i="2"/>
  <c r="G156" i="2"/>
  <c r="G157" i="2"/>
  <c r="G158" i="2"/>
  <c r="G159" i="2"/>
  <c r="N141" i="2"/>
  <c r="L141" i="2"/>
  <c r="N135" i="2"/>
  <c r="L135" i="2"/>
  <c r="N129" i="2"/>
  <c r="L129" i="2"/>
  <c r="N90" i="2"/>
  <c r="L90" i="2"/>
  <c r="N84" i="2"/>
  <c r="L84" i="2"/>
  <c r="N78" i="2"/>
  <c r="L78" i="2"/>
  <c r="N72" i="2"/>
  <c r="L72" i="2"/>
  <c r="N37" i="2"/>
  <c r="L37" i="2"/>
  <c r="N31" i="2"/>
  <c r="L31" i="2"/>
  <c r="N25" i="2"/>
  <c r="L25" i="2"/>
  <c r="N20" i="2"/>
  <c r="L20" i="2"/>
  <c r="K147" i="2"/>
  <c r="K121" i="2"/>
  <c r="C155" i="2"/>
  <c r="C154" i="2"/>
  <c r="C148" i="2"/>
  <c r="C147" i="2"/>
  <c r="C128" i="2"/>
  <c r="K109" i="2"/>
  <c r="K104" i="2"/>
  <c r="C122" i="2"/>
  <c r="C121" i="2"/>
  <c r="C109" i="2"/>
  <c r="C104" i="2"/>
  <c r="K96" i="2"/>
  <c r="C97" i="2"/>
  <c r="C96" i="2"/>
  <c r="C71" i="2"/>
  <c r="K63" i="2"/>
  <c r="C63" i="2"/>
  <c r="K50" i="2"/>
  <c r="C50" i="2"/>
  <c r="K44" i="2"/>
  <c r="C44" i="2"/>
  <c r="K12" i="2"/>
  <c r="K19" i="2"/>
  <c r="C13" i="2"/>
  <c r="C12" i="2"/>
  <c r="C164" i="2"/>
  <c r="C152" i="2"/>
  <c r="C126" i="2"/>
  <c r="C17" i="2"/>
  <c r="C69" i="2"/>
  <c r="C160" i="2"/>
  <c r="C159" i="2"/>
  <c r="C158" i="2"/>
  <c r="C157" i="2"/>
  <c r="C156" i="2"/>
  <c r="C151" i="2"/>
  <c r="C150" i="2"/>
  <c r="C149" i="2"/>
  <c r="C145" i="2"/>
  <c r="C144" i="2"/>
  <c r="C143" i="2"/>
  <c r="C142" i="2"/>
  <c r="C140" i="2"/>
  <c r="C139" i="2"/>
  <c r="C138" i="2"/>
  <c r="C137" i="2"/>
  <c r="C136" i="2"/>
  <c r="C134" i="2"/>
  <c r="C133" i="2"/>
  <c r="C132" i="2"/>
  <c r="C131" i="2"/>
  <c r="C130" i="2"/>
  <c r="C125" i="2"/>
  <c r="C124" i="2"/>
  <c r="C123" i="2"/>
  <c r="C113" i="2"/>
  <c r="C112" i="2"/>
  <c r="C111" i="2"/>
  <c r="C107" i="2"/>
  <c r="C106" i="2"/>
  <c r="C101" i="2"/>
  <c r="C100" i="2"/>
  <c r="C99" i="2"/>
  <c r="C98" i="2"/>
  <c r="C94" i="2"/>
  <c r="C93" i="2"/>
  <c r="C92" i="2"/>
  <c r="C91" i="2"/>
  <c r="C89" i="2"/>
  <c r="C88" i="2"/>
  <c r="C87" i="2"/>
  <c r="C86" i="2"/>
  <c r="C85" i="2"/>
  <c r="C83" i="2"/>
  <c r="C82" i="2"/>
  <c r="C81" i="2"/>
  <c r="C80" i="2"/>
  <c r="C79" i="2"/>
  <c r="C77" i="2"/>
  <c r="C76" i="2"/>
  <c r="C75" i="2"/>
  <c r="C74" i="2"/>
  <c r="C73" i="2"/>
  <c r="C68" i="2"/>
  <c r="C67" i="2"/>
  <c r="C66" i="2"/>
  <c r="C65" i="2"/>
  <c r="C53" i="2"/>
  <c r="C52" i="2"/>
  <c r="C51" i="2"/>
  <c r="C48" i="2"/>
  <c r="C47" i="2"/>
  <c r="C46" i="2"/>
  <c r="C45" i="2"/>
  <c r="C42" i="2"/>
  <c r="C41" i="2"/>
  <c r="C40" i="2"/>
  <c r="C39" i="2"/>
  <c r="C38" i="2"/>
  <c r="C36" i="2"/>
  <c r="C35" i="2"/>
  <c r="C34" i="2"/>
  <c r="C33" i="2"/>
  <c r="C32" i="2"/>
  <c r="C30" i="2"/>
  <c r="C29" i="2"/>
  <c r="C28" i="2"/>
  <c r="C27" i="2"/>
  <c r="C26" i="2"/>
  <c r="C24" i="2"/>
  <c r="C23" i="2"/>
  <c r="C22" i="2"/>
  <c r="C21" i="2"/>
  <c r="C16" i="2"/>
  <c r="C15" i="2"/>
  <c r="C14" i="2"/>
  <c r="C163" i="2"/>
  <c r="C162" i="2"/>
  <c r="C161" i="2"/>
  <c r="C153" i="2"/>
  <c r="C146" i="2"/>
  <c r="C127" i="2"/>
  <c r="C120" i="2"/>
  <c r="C119" i="2"/>
  <c r="C118" i="2"/>
  <c r="C117" i="2"/>
  <c r="C114" i="2"/>
  <c r="C110" i="2"/>
  <c r="C108" i="2"/>
  <c r="C105" i="2"/>
  <c r="C103" i="2"/>
  <c r="C95" i="2"/>
  <c r="C70" i="2"/>
  <c r="C64" i="2"/>
  <c r="C62" i="2"/>
  <c r="C61" i="2"/>
  <c r="C60" i="2"/>
  <c r="C59" i="2"/>
  <c r="C56" i="2"/>
  <c r="C55" i="2"/>
  <c r="C54" i="2"/>
  <c r="C49" i="2"/>
  <c r="C43" i="2"/>
  <c r="C19" i="2"/>
  <c r="C18" i="2"/>
  <c r="C11" i="2"/>
  <c r="C10" i="2"/>
  <c r="C9" i="2"/>
  <c r="C8" i="2"/>
  <c r="C7" i="2"/>
  <c r="C6" i="2"/>
  <c r="C3" i="2"/>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C300" i="1"/>
  <c r="B301" i="1" s="1"/>
  <c r="C301" i="1" s="1"/>
  <c r="B302" i="1" s="1"/>
  <c r="C302" i="1" s="1"/>
  <c r="B303" i="1" s="1"/>
  <c r="C303" i="1" s="1"/>
  <c r="B304" i="1" s="1"/>
  <c r="C304" i="1" s="1"/>
  <c r="B305" i="1" s="1"/>
  <c r="C305" i="1" s="1"/>
  <c r="B306" i="1" s="1"/>
  <c r="C306" i="1" s="1"/>
  <c r="B307" i="1" s="1"/>
  <c r="C307" i="1" s="1"/>
  <c r="B308" i="1" s="1"/>
  <c r="C308" i="1" s="1"/>
  <c r="B309" i="1" s="1"/>
  <c r="C309" i="1" s="1"/>
  <c r="B310" i="1" s="1"/>
  <c r="C310" i="1" s="1"/>
  <c r="B311" i="1" s="1"/>
  <c r="C311" i="1" s="1"/>
  <c r="B312" i="1" s="1"/>
  <c r="C312" i="1" s="1"/>
  <c r="B313" i="1" s="1"/>
  <c r="C313" i="1" s="1"/>
  <c r="B314" i="1" s="1"/>
  <c r="C314" i="1" s="1"/>
  <c r="B315" i="1" s="1"/>
  <c r="C315" i="1" s="1"/>
  <c r="B316" i="1" s="1"/>
  <c r="C316" i="1" s="1"/>
  <c r="B317" i="1" s="1"/>
  <c r="C317" i="1" s="1"/>
  <c r="B318" i="1" s="1"/>
  <c r="C318" i="1" s="1"/>
  <c r="B319" i="1" s="1"/>
  <c r="C319" i="1" s="1"/>
  <c r="B320" i="1" s="1"/>
  <c r="C320" i="1" s="1"/>
  <c r="B321" i="1" s="1"/>
  <c r="C321" i="1" s="1"/>
  <c r="B322" i="1" s="1"/>
  <c r="C322" i="1" s="1"/>
  <c r="B323" i="1" s="1"/>
  <c r="C323" i="1" s="1"/>
  <c r="B324" i="1" s="1"/>
  <c r="C324" i="1" s="1"/>
  <c r="B325" i="1" s="1"/>
  <c r="C325" i="1" s="1"/>
  <c r="B326" i="1" s="1"/>
  <c r="C326" i="1" s="1"/>
  <c r="B327" i="1" s="1"/>
  <c r="C327" i="1" s="1"/>
  <c r="B328" i="1" s="1"/>
  <c r="C328" i="1" s="1"/>
  <c r="B329" i="1" s="1"/>
  <c r="C329" i="1" s="1"/>
  <c r="B330" i="1" s="1"/>
  <c r="C330" i="1" s="1"/>
  <c r="B331" i="1" s="1"/>
  <c r="C331" i="1" s="1"/>
  <c r="B332" i="1" s="1"/>
  <c r="C332" i="1" s="1"/>
  <c r="B333" i="1" s="1"/>
  <c r="C333" i="1" s="1"/>
  <c r="B334" i="1" s="1"/>
  <c r="C334" i="1" s="1"/>
  <c r="B335" i="1" s="1"/>
  <c r="C335" i="1" s="1"/>
  <c r="B336" i="1" s="1"/>
  <c r="C336" i="1" s="1"/>
  <c r="B337" i="1" s="1"/>
  <c r="C337" i="1" s="1"/>
  <c r="B338" i="1" s="1"/>
  <c r="C338" i="1" s="1"/>
  <c r="B339" i="1" s="1"/>
  <c r="C339" i="1" s="1"/>
  <c r="B340" i="1" s="1"/>
  <c r="C340" i="1" s="1"/>
  <c r="B341" i="1" s="1"/>
  <c r="C341" i="1" s="1"/>
  <c r="B343" i="1" s="1"/>
  <c r="C343" i="1" s="1"/>
  <c r="B344" i="1" s="1"/>
  <c r="C344" i="1" s="1"/>
  <c r="B345" i="1" s="1"/>
  <c r="C345" i="1" s="1"/>
  <c r="B346" i="1" s="1"/>
  <c r="C346" i="1" s="1"/>
  <c r="B347" i="1" s="1"/>
  <c r="C347" i="1" s="1"/>
  <c r="B348" i="1" s="1"/>
  <c r="C348" i="1" s="1"/>
  <c r="B349" i="1" s="1"/>
  <c r="C349" i="1" s="1"/>
  <c r="B350" i="1" s="1"/>
  <c r="C350" i="1" s="1"/>
  <c r="B351" i="1" s="1"/>
  <c r="C351" i="1" s="1"/>
  <c r="B352" i="1" s="1"/>
  <c r="C352" i="1" s="1"/>
  <c r="B353" i="1" s="1"/>
  <c r="C353" i="1" s="1"/>
  <c r="B354" i="1" s="1"/>
  <c r="C354" i="1" s="1"/>
  <c r="B355" i="1" s="1"/>
  <c r="C355" i="1" s="1"/>
  <c r="B356" i="1" s="1"/>
  <c r="C356" i="1" s="1"/>
  <c r="B357" i="1" s="1"/>
  <c r="C357" i="1" s="1"/>
  <c r="B358" i="1" s="1"/>
  <c r="C358" i="1" s="1"/>
  <c r="B359" i="1" s="1"/>
  <c r="C359" i="1" s="1"/>
  <c r="B360" i="1" s="1"/>
  <c r="C360" i="1" s="1"/>
  <c r="B361" i="1" s="1"/>
  <c r="C361" i="1" s="1"/>
  <c r="B362" i="1" s="1"/>
  <c r="C362" i="1" s="1"/>
  <c r="B363" i="1" s="1"/>
  <c r="C363" i="1" s="1"/>
  <c r="B364" i="1" s="1"/>
  <c r="C364" i="1" s="1"/>
  <c r="B365" i="1" s="1"/>
  <c r="C365" i="1" s="1"/>
  <c r="B366" i="1" s="1"/>
  <c r="C366" i="1" s="1"/>
  <c r="B367" i="1" s="1"/>
  <c r="C367" i="1" s="1"/>
  <c r="B368" i="1" s="1"/>
  <c r="C368" i="1" s="1"/>
  <c r="B369" i="1" s="1"/>
  <c r="C369" i="1" s="1"/>
  <c r="B370" i="1" s="1"/>
  <c r="C370" i="1" s="1"/>
  <c r="B371" i="1" s="1"/>
  <c r="C371" i="1" s="1"/>
  <c r="B372" i="1" s="1"/>
  <c r="C372" i="1" s="1"/>
  <c r="B373" i="1" s="1"/>
  <c r="C373" i="1" s="1"/>
  <c r="B374" i="1" s="1"/>
  <c r="C374" i="1" s="1"/>
  <c r="B375" i="1" s="1"/>
  <c r="C375" i="1" s="1"/>
  <c r="B376" i="1" s="1"/>
  <c r="C376" i="1" s="1"/>
  <c r="B377" i="1" s="1"/>
  <c r="C377" i="1" s="1"/>
  <c r="B378" i="1" s="1"/>
  <c r="C378" i="1" s="1"/>
  <c r="B379" i="1" s="1"/>
  <c r="C379" i="1" s="1"/>
  <c r="B380" i="1" s="1"/>
  <c r="C380" i="1" s="1"/>
  <c r="B381" i="1" s="1"/>
  <c r="C381" i="1" s="1"/>
  <c r="B382" i="1" s="1"/>
  <c r="C382" i="1" s="1"/>
  <c r="B383" i="1" s="1"/>
  <c r="C383" i="1" s="1"/>
  <c r="B384" i="1" s="1"/>
  <c r="C384" i="1" s="1"/>
  <c r="B385" i="1" s="1"/>
  <c r="C385" i="1" s="1"/>
  <c r="B386" i="1" s="1"/>
  <c r="C386" i="1" s="1"/>
  <c r="B387" i="1" s="1"/>
  <c r="C387" i="1" s="1"/>
  <c r="B388" i="1" s="1"/>
  <c r="C388" i="1" s="1"/>
  <c r="B389" i="1" s="1"/>
  <c r="C389" i="1" s="1"/>
  <c r="B390" i="1" s="1"/>
  <c r="C390" i="1" s="1"/>
  <c r="B391" i="1" s="1"/>
  <c r="C391" i="1" s="1"/>
  <c r="B392" i="1" s="1"/>
  <c r="C392" i="1" s="1"/>
  <c r="B393" i="1" s="1"/>
  <c r="C393" i="1" s="1"/>
  <c r="B394" i="1" s="1"/>
  <c r="C394" i="1" s="1"/>
  <c r="B395" i="1" s="1"/>
  <c r="C395" i="1" s="1"/>
  <c r="B396" i="1" s="1"/>
  <c r="C396" i="1" s="1"/>
  <c r="B397" i="1" s="1"/>
  <c r="C397" i="1" s="1"/>
  <c r="B398" i="1" s="1"/>
  <c r="C398" i="1" s="1"/>
  <c r="B399" i="1" s="1"/>
  <c r="C399" i="1" s="1"/>
  <c r="B400" i="1" s="1"/>
  <c r="C400" i="1" s="1"/>
  <c r="B401" i="1" s="1"/>
  <c r="C401" i="1" s="1"/>
  <c r="B402" i="1" s="1"/>
  <c r="C402" i="1" s="1"/>
  <c r="B403" i="1" s="1"/>
  <c r="C403" i="1" s="1"/>
  <c r="B404" i="1" s="1"/>
  <c r="C404" i="1" s="1"/>
  <c r="B405" i="1" s="1"/>
  <c r="C405" i="1" s="1"/>
  <c r="B406" i="1" s="1"/>
  <c r="C406" i="1" s="1"/>
  <c r="B407" i="1" s="1"/>
  <c r="C407" i="1" s="1"/>
  <c r="B408" i="1" s="1"/>
  <c r="C408" i="1" s="1"/>
  <c r="B409" i="1" s="1"/>
  <c r="C409" i="1" s="1"/>
  <c r="B410" i="1" s="1"/>
  <c r="C410" i="1" s="1"/>
  <c r="B411" i="1" s="1"/>
  <c r="C411" i="1" s="1"/>
  <c r="B412" i="1" s="1"/>
  <c r="C412" i="1" s="1"/>
  <c r="B413" i="1" s="1"/>
  <c r="C413" i="1" s="1"/>
  <c r="B414" i="1" s="1"/>
  <c r="C414" i="1" s="1"/>
  <c r="B415" i="1" s="1"/>
  <c r="C415" i="1" s="1"/>
  <c r="B416" i="1" s="1"/>
  <c r="C416" i="1" s="1"/>
  <c r="B417" i="1" s="1"/>
  <c r="C417" i="1" s="1"/>
  <c r="B418" i="1" s="1"/>
  <c r="C418" i="1" s="1"/>
  <c r="B419" i="1" s="1"/>
  <c r="C419" i="1" s="1"/>
  <c r="B420" i="1" s="1"/>
  <c r="C420" i="1" s="1"/>
  <c r="B421" i="1" s="1"/>
  <c r="C421" i="1" s="1"/>
  <c r="B422" i="1" s="1"/>
  <c r="C422" i="1" s="1"/>
  <c r="B423" i="1" s="1"/>
  <c r="C423" i="1" s="1"/>
  <c r="B424" i="1" s="1"/>
  <c r="C424" i="1" s="1"/>
  <c r="B425" i="1" s="1"/>
  <c r="C425" i="1" s="1"/>
  <c r="B426" i="1" s="1"/>
  <c r="C426" i="1" s="1"/>
  <c r="A300"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C171" i="1"/>
  <c r="B172" i="1" s="1"/>
  <c r="C172" i="1" s="1"/>
  <c r="B173" i="1" s="1"/>
  <c r="C173" i="1" s="1"/>
  <c r="B174" i="1" s="1"/>
  <c r="C174" i="1" s="1"/>
  <c r="B175" i="1" s="1"/>
  <c r="C175" i="1" s="1"/>
  <c r="B176" i="1" s="1"/>
  <c r="C176" i="1" s="1"/>
  <c r="B177" i="1" s="1"/>
  <c r="C177" i="1" s="1"/>
  <c r="B178" i="1" s="1"/>
  <c r="C178" i="1" s="1"/>
  <c r="B179" i="1" s="1"/>
  <c r="C179" i="1" s="1"/>
  <c r="B180" i="1" s="1"/>
  <c r="C180" i="1" s="1"/>
  <c r="B181" i="1" s="1"/>
  <c r="C181" i="1" s="1"/>
  <c r="B182" i="1" s="1"/>
  <c r="C182" i="1" s="1"/>
  <c r="B183" i="1" s="1"/>
  <c r="C183" i="1" s="1"/>
  <c r="B184" i="1" s="1"/>
  <c r="C184" i="1" s="1"/>
  <c r="B185" i="1" s="1"/>
  <c r="C185" i="1" s="1"/>
  <c r="B186" i="1" s="1"/>
  <c r="C186" i="1" s="1"/>
  <c r="B187" i="1" s="1"/>
  <c r="C187" i="1" s="1"/>
  <c r="B188" i="1" s="1"/>
  <c r="C188" i="1" s="1"/>
  <c r="B189" i="1" s="1"/>
  <c r="C189" i="1" s="1"/>
  <c r="B190" i="1" s="1"/>
  <c r="C190" i="1" s="1"/>
  <c r="B191" i="1" s="1"/>
  <c r="C191" i="1" s="1"/>
  <c r="B192" i="1" s="1"/>
  <c r="C192" i="1" s="1"/>
  <c r="B193" i="1" s="1"/>
  <c r="C193" i="1" s="1"/>
  <c r="B194" i="1" s="1"/>
  <c r="C194" i="1" s="1"/>
  <c r="B195" i="1" s="1"/>
  <c r="C195" i="1" s="1"/>
  <c r="B196" i="1" s="1"/>
  <c r="C196" i="1" s="1"/>
  <c r="B197" i="1" s="1"/>
  <c r="C197" i="1" s="1"/>
  <c r="B198" i="1" s="1"/>
  <c r="C198" i="1" s="1"/>
  <c r="B199" i="1" s="1"/>
  <c r="C199" i="1" s="1"/>
  <c r="B200" i="1" s="1"/>
  <c r="C200" i="1" s="1"/>
  <c r="B201" i="1" s="1"/>
  <c r="C201" i="1" s="1"/>
  <c r="B202" i="1" s="1"/>
  <c r="C202" i="1" s="1"/>
  <c r="B203" i="1" s="1"/>
  <c r="C203" i="1" s="1"/>
  <c r="B204" i="1" s="1"/>
  <c r="C204" i="1" s="1"/>
  <c r="B205" i="1" s="1"/>
  <c r="C205" i="1" s="1"/>
  <c r="B206" i="1" s="1"/>
  <c r="C206" i="1" s="1"/>
  <c r="B207" i="1" s="1"/>
  <c r="C207" i="1" s="1"/>
  <c r="B208" i="1" s="1"/>
  <c r="C208" i="1" s="1"/>
  <c r="B209" i="1" s="1"/>
  <c r="C209" i="1" s="1"/>
  <c r="B210" i="1" s="1"/>
  <c r="C210" i="1" s="1"/>
  <c r="B211" i="1" s="1"/>
  <c r="C211" i="1" s="1"/>
  <c r="B212" i="1" s="1"/>
  <c r="C212" i="1" s="1"/>
  <c r="B213" i="1" s="1"/>
  <c r="C213" i="1" s="1"/>
  <c r="B214" i="1" s="1"/>
  <c r="C214" i="1" s="1"/>
  <c r="B215" i="1" s="1"/>
  <c r="C215" i="1" s="1"/>
  <c r="B216" i="1" s="1"/>
  <c r="C216" i="1" s="1"/>
  <c r="B217" i="1" s="1"/>
  <c r="C217" i="1" s="1"/>
  <c r="B218" i="1" s="1"/>
  <c r="C218" i="1" s="1"/>
  <c r="B219" i="1" s="1"/>
  <c r="C219" i="1" s="1"/>
  <c r="B220" i="1" s="1"/>
  <c r="C220" i="1" s="1"/>
  <c r="B221" i="1" s="1"/>
  <c r="C221" i="1" s="1"/>
  <c r="B223" i="1" s="1"/>
  <c r="C223" i="1" s="1"/>
  <c r="B224" i="1" s="1"/>
  <c r="C224" i="1" s="1"/>
  <c r="B225" i="1" s="1"/>
  <c r="C225" i="1" s="1"/>
  <c r="B226" i="1" s="1"/>
  <c r="C226" i="1" s="1"/>
  <c r="B227" i="1" s="1"/>
  <c r="C227" i="1" s="1"/>
  <c r="B228" i="1" s="1"/>
  <c r="C228" i="1" s="1"/>
  <c r="B229" i="1" s="1"/>
  <c r="C229" i="1" s="1"/>
  <c r="B230" i="1" s="1"/>
  <c r="C230" i="1" s="1"/>
  <c r="B231" i="1" s="1"/>
  <c r="C231" i="1" s="1"/>
  <c r="B232" i="1" s="1"/>
  <c r="C232" i="1" s="1"/>
  <c r="B233" i="1" s="1"/>
  <c r="C233" i="1" s="1"/>
  <c r="B234" i="1" s="1"/>
  <c r="C234" i="1" s="1"/>
  <c r="B235" i="1" s="1"/>
  <c r="C235" i="1" s="1"/>
  <c r="B236" i="1" s="1"/>
  <c r="C236" i="1" s="1"/>
  <c r="B237" i="1" s="1"/>
  <c r="C237" i="1" s="1"/>
  <c r="B238" i="1" s="1"/>
  <c r="C238" i="1" s="1"/>
  <c r="B239" i="1" s="1"/>
  <c r="C239" i="1" s="1"/>
  <c r="B240" i="1" s="1"/>
  <c r="C240" i="1" s="1"/>
  <c r="B241" i="1" s="1"/>
  <c r="C241" i="1" s="1"/>
  <c r="B242" i="1" s="1"/>
  <c r="C242" i="1" s="1"/>
  <c r="B243" i="1" s="1"/>
  <c r="C243" i="1" s="1"/>
  <c r="B244" i="1" s="1"/>
  <c r="C244" i="1" s="1"/>
  <c r="B245" i="1" s="1"/>
  <c r="C245" i="1" s="1"/>
  <c r="B246" i="1" s="1"/>
  <c r="C246" i="1" s="1"/>
  <c r="B247" i="1" s="1"/>
  <c r="C247" i="1" s="1"/>
  <c r="B248" i="1" s="1"/>
  <c r="C248" i="1" s="1"/>
  <c r="B249" i="1" s="1"/>
  <c r="C249" i="1" s="1"/>
  <c r="B250" i="1" s="1"/>
  <c r="C250" i="1" s="1"/>
  <c r="B251" i="1" s="1"/>
  <c r="C251" i="1" s="1"/>
  <c r="B252" i="1" s="1"/>
  <c r="C252" i="1" s="1"/>
  <c r="B253" i="1" s="1"/>
  <c r="C253" i="1" s="1"/>
  <c r="B254" i="1" s="1"/>
  <c r="C254" i="1" s="1"/>
  <c r="B255" i="1" s="1"/>
  <c r="C255" i="1" s="1"/>
  <c r="B256" i="1" s="1"/>
  <c r="C256" i="1" s="1"/>
  <c r="B257" i="1" s="1"/>
  <c r="C257" i="1" s="1"/>
  <c r="B258" i="1" s="1"/>
  <c r="C258" i="1" s="1"/>
  <c r="B259" i="1" s="1"/>
  <c r="C259" i="1" s="1"/>
  <c r="B260" i="1" s="1"/>
  <c r="C260" i="1" s="1"/>
  <c r="B261" i="1" s="1"/>
  <c r="C261" i="1" s="1"/>
  <c r="B262" i="1" s="1"/>
  <c r="C262" i="1" s="1"/>
  <c r="B263" i="1" s="1"/>
  <c r="C263" i="1" s="1"/>
  <c r="B264" i="1" s="1"/>
  <c r="C264" i="1" s="1"/>
  <c r="B265" i="1" s="1"/>
  <c r="C265" i="1" s="1"/>
  <c r="B266" i="1" s="1"/>
  <c r="C266" i="1" s="1"/>
  <c r="B267" i="1" s="1"/>
  <c r="C267" i="1" s="1"/>
  <c r="B268" i="1" s="1"/>
  <c r="C268" i="1" s="1"/>
  <c r="B269" i="1" s="1"/>
  <c r="C269" i="1" s="1"/>
  <c r="B270" i="1" s="1"/>
  <c r="C270" i="1" s="1"/>
  <c r="B271" i="1" s="1"/>
  <c r="C271" i="1" s="1"/>
  <c r="B272" i="1" s="1"/>
  <c r="C272" i="1" s="1"/>
  <c r="B273" i="1" s="1"/>
  <c r="C273" i="1" s="1"/>
  <c r="B274" i="1" s="1"/>
  <c r="C274" i="1" s="1"/>
  <c r="B275" i="1" s="1"/>
  <c r="C275" i="1" s="1"/>
  <c r="B276" i="1" s="1"/>
  <c r="C276" i="1" s="1"/>
  <c r="B277" i="1" s="1"/>
  <c r="C277" i="1" s="1"/>
  <c r="B278" i="1" s="1"/>
  <c r="C278" i="1" s="1"/>
  <c r="B279" i="1" s="1"/>
  <c r="C279" i="1" s="1"/>
  <c r="B280" i="1" s="1"/>
  <c r="C280" i="1" s="1"/>
  <c r="B281" i="1" s="1"/>
  <c r="C281" i="1" s="1"/>
  <c r="B282" i="1" s="1"/>
  <c r="C282" i="1" s="1"/>
  <c r="B283" i="1" s="1"/>
  <c r="C283" i="1" s="1"/>
  <c r="B284" i="1" s="1"/>
  <c r="C284" i="1" s="1"/>
  <c r="B285" i="1" s="1"/>
  <c r="C285" i="1" s="1"/>
  <c r="B286" i="1" s="1"/>
  <c r="C286" i="1" s="1"/>
  <c r="B287" i="1" s="1"/>
  <c r="C287" i="1" s="1"/>
  <c r="B288" i="1" s="1"/>
  <c r="C288" i="1" s="1"/>
  <c r="B289" i="1" s="1"/>
  <c r="C289" i="1" s="1"/>
  <c r="B290" i="1" s="1"/>
  <c r="C290" i="1" s="1"/>
  <c r="B291" i="1" s="1"/>
  <c r="C291" i="1" s="1"/>
  <c r="B292" i="1" s="1"/>
  <c r="C292" i="1" s="1"/>
  <c r="B293" i="1" s="1"/>
  <c r="C293" i="1" s="1"/>
  <c r="B294" i="1" s="1"/>
  <c r="C294" i="1" s="1"/>
  <c r="B295" i="1" s="1"/>
  <c r="C295" i="1" s="1"/>
  <c r="B296" i="1" s="1"/>
  <c r="C296" i="1" s="1"/>
  <c r="B297" i="1" s="1"/>
  <c r="C297" i="1" s="1"/>
  <c r="A171"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C42" i="1"/>
  <c r="B43" i="1" s="1"/>
  <c r="C43" i="1" s="1"/>
  <c r="B44" i="1" s="1"/>
  <c r="C44" i="1" s="1"/>
  <c r="B45" i="1" s="1"/>
  <c r="C45" i="1" s="1"/>
  <c r="B46" i="1" s="1"/>
  <c r="C46" i="1" s="1"/>
  <c r="B47" i="1" s="1"/>
  <c r="C47" i="1" s="1"/>
  <c r="B48" i="1" s="1"/>
  <c r="C48" i="1" s="1"/>
  <c r="B49" i="1" s="1"/>
  <c r="C49" i="1" s="1"/>
  <c r="B50" i="1" s="1"/>
  <c r="C50" i="1" s="1"/>
  <c r="B51" i="1" s="1"/>
  <c r="C51" i="1" s="1"/>
  <c r="B52" i="1" s="1"/>
  <c r="C52" i="1" s="1"/>
  <c r="B53" i="1" s="1"/>
  <c r="C53" i="1" s="1"/>
  <c r="B54" i="1" s="1"/>
  <c r="C54" i="1" s="1"/>
  <c r="B55" i="1" s="1"/>
  <c r="C55" i="1" s="1"/>
  <c r="B56" i="1" s="1"/>
  <c r="C56" i="1" s="1"/>
  <c r="B57" i="1" s="1"/>
  <c r="C57" i="1" s="1"/>
  <c r="B58" i="1" s="1"/>
  <c r="C58" i="1" s="1"/>
  <c r="B59" i="1" s="1"/>
  <c r="C59" i="1" s="1"/>
  <c r="B60" i="1" s="1"/>
  <c r="C60" i="1" s="1"/>
  <c r="B61" i="1" s="1"/>
  <c r="C61" i="1" s="1"/>
  <c r="B62" i="1" s="1"/>
  <c r="C62" i="1" s="1"/>
  <c r="B63" i="1" s="1"/>
  <c r="C63" i="1" s="1"/>
  <c r="B64" i="1" s="1"/>
  <c r="C64" i="1" s="1"/>
  <c r="B65" i="1" s="1"/>
  <c r="C65" i="1" s="1"/>
  <c r="B66" i="1" s="1"/>
  <c r="C66" i="1" s="1"/>
  <c r="B67" i="1" s="1"/>
  <c r="C67" i="1" s="1"/>
  <c r="B68" i="1" s="1"/>
  <c r="C68" i="1" s="1"/>
  <c r="B69" i="1" s="1"/>
  <c r="C69" i="1" s="1"/>
  <c r="B70" i="1" s="1"/>
  <c r="C70" i="1" s="1"/>
  <c r="B71" i="1" s="1"/>
  <c r="C71" i="1" s="1"/>
  <c r="B72" i="1" s="1"/>
  <c r="C72" i="1" s="1"/>
  <c r="B73" i="1" s="1"/>
  <c r="C73" i="1" s="1"/>
  <c r="B74" i="1" s="1"/>
  <c r="C74" i="1" s="1"/>
  <c r="B75" i="1" s="1"/>
  <c r="C75" i="1" s="1"/>
  <c r="B76" i="1" s="1"/>
  <c r="C76" i="1" s="1"/>
  <c r="B77" i="1" s="1"/>
  <c r="C77" i="1" s="1"/>
  <c r="B78" i="1" s="1"/>
  <c r="C78" i="1" s="1"/>
  <c r="B79" i="1" s="1"/>
  <c r="C79" i="1" s="1"/>
  <c r="B80" i="1" s="1"/>
  <c r="C80" i="1" s="1"/>
  <c r="B81" i="1" s="1"/>
  <c r="C81" i="1" s="1"/>
  <c r="B82" i="1" s="1"/>
  <c r="C82" i="1" s="1"/>
  <c r="B83" i="1" s="1"/>
  <c r="C83" i="1" s="1"/>
  <c r="B84" i="1" s="1"/>
  <c r="C84" i="1" s="1"/>
  <c r="B85" i="1" s="1"/>
  <c r="C85" i="1" s="1"/>
  <c r="B86" i="1" s="1"/>
  <c r="C86" i="1" s="1"/>
  <c r="B87" i="1" s="1"/>
  <c r="C87" i="1" s="1"/>
  <c r="B88" i="1" s="1"/>
  <c r="C88" i="1" s="1"/>
  <c r="B89" i="1" s="1"/>
  <c r="C89" i="1" s="1"/>
  <c r="B90" i="1" s="1"/>
  <c r="C90" i="1" s="1"/>
  <c r="B91" i="1" s="1"/>
  <c r="C91" i="1" s="1"/>
  <c r="B92" i="1" s="1"/>
  <c r="C92" i="1" s="1"/>
  <c r="B93" i="1" s="1"/>
  <c r="C93" i="1" s="1"/>
  <c r="B94" i="1" s="1"/>
  <c r="C94" i="1" s="1"/>
  <c r="B95" i="1" s="1"/>
  <c r="C95" i="1" s="1"/>
  <c r="B96" i="1" s="1"/>
  <c r="C96" i="1" s="1"/>
  <c r="B97" i="1" s="1"/>
  <c r="C97" i="1" s="1"/>
  <c r="B99" i="1" s="1"/>
  <c r="C99" i="1" s="1"/>
  <c r="B100" i="1" s="1"/>
  <c r="C100" i="1" s="1"/>
  <c r="B101" i="1" s="1"/>
  <c r="C101" i="1" s="1"/>
  <c r="B102" i="1" s="1"/>
  <c r="C102" i="1" s="1"/>
  <c r="B103" i="1" s="1"/>
  <c r="C103" i="1" s="1"/>
  <c r="B104" i="1" s="1"/>
  <c r="C104" i="1" s="1"/>
  <c r="B105" i="1" s="1"/>
  <c r="C105" i="1" s="1"/>
  <c r="B106" i="1" s="1"/>
  <c r="C106" i="1" s="1"/>
  <c r="B107" i="1" s="1"/>
  <c r="C107" i="1" s="1"/>
  <c r="B108" i="1" s="1"/>
  <c r="C108" i="1" s="1"/>
  <c r="B109" i="1" s="1"/>
  <c r="C109" i="1" s="1"/>
  <c r="B110" i="1" s="1"/>
  <c r="C110" i="1" s="1"/>
  <c r="B111" i="1" s="1"/>
  <c r="C111" i="1" s="1"/>
  <c r="B112" i="1" s="1"/>
  <c r="C112" i="1" s="1"/>
  <c r="B113" i="1" s="1"/>
  <c r="C113" i="1" s="1"/>
  <c r="B114" i="1" s="1"/>
  <c r="C114" i="1" s="1"/>
  <c r="B115" i="1" s="1"/>
  <c r="C115" i="1" s="1"/>
  <c r="B116" i="1" s="1"/>
  <c r="C116" i="1" s="1"/>
  <c r="B117" i="1" s="1"/>
  <c r="C117" i="1" s="1"/>
  <c r="B118" i="1" s="1"/>
  <c r="C118" i="1" s="1"/>
  <c r="B119" i="1" s="1"/>
  <c r="C119" i="1" s="1"/>
  <c r="B120" i="1" s="1"/>
  <c r="C120" i="1" s="1"/>
  <c r="B121" i="1" s="1"/>
  <c r="C121" i="1" s="1"/>
  <c r="B122" i="1" s="1"/>
  <c r="C122" i="1" s="1"/>
  <c r="B123" i="1" s="1"/>
  <c r="C123" i="1" s="1"/>
  <c r="B124" i="1" s="1"/>
  <c r="C124" i="1" s="1"/>
  <c r="B125" i="1" s="1"/>
  <c r="C125" i="1" s="1"/>
  <c r="B126" i="1" s="1"/>
  <c r="C126" i="1" s="1"/>
  <c r="B127" i="1" s="1"/>
  <c r="C127" i="1" s="1"/>
  <c r="B128" i="1" s="1"/>
  <c r="C128" i="1" s="1"/>
  <c r="B129" i="1" s="1"/>
  <c r="C129" i="1" s="1"/>
  <c r="B130" i="1" s="1"/>
  <c r="C130" i="1" s="1"/>
  <c r="B131" i="1" s="1"/>
  <c r="C131" i="1" s="1"/>
  <c r="B132" i="1" s="1"/>
  <c r="C132" i="1" s="1"/>
  <c r="B133" i="1" s="1"/>
  <c r="C133" i="1" s="1"/>
  <c r="B134" i="1" s="1"/>
  <c r="C134" i="1" s="1"/>
  <c r="B135" i="1" s="1"/>
  <c r="C135" i="1" s="1"/>
  <c r="B136" i="1" s="1"/>
  <c r="C136" i="1" s="1"/>
  <c r="B137" i="1" s="1"/>
  <c r="C137" i="1" s="1"/>
  <c r="B138" i="1" s="1"/>
  <c r="C138" i="1" s="1"/>
  <c r="B139" i="1" s="1"/>
  <c r="C139" i="1" s="1"/>
  <c r="B140" i="1" s="1"/>
  <c r="C140" i="1" s="1"/>
  <c r="B141" i="1" s="1"/>
  <c r="C141" i="1" s="1"/>
  <c r="B142" i="1" s="1"/>
  <c r="C142" i="1" s="1"/>
  <c r="B143" i="1" s="1"/>
  <c r="C143" i="1" s="1"/>
  <c r="B144" i="1" s="1"/>
  <c r="C144" i="1" s="1"/>
  <c r="B145" i="1" s="1"/>
  <c r="C145" i="1" s="1"/>
  <c r="B146" i="1" s="1"/>
  <c r="C146" i="1" s="1"/>
  <c r="B147" i="1" s="1"/>
  <c r="C147" i="1" s="1"/>
  <c r="B148" i="1" s="1"/>
  <c r="C148" i="1" s="1"/>
  <c r="B149" i="1" s="1"/>
  <c r="C149" i="1" s="1"/>
  <c r="B150" i="1" s="1"/>
  <c r="C150" i="1" s="1"/>
  <c r="B151" i="1" s="1"/>
  <c r="C151" i="1" s="1"/>
  <c r="B152" i="1" s="1"/>
  <c r="C152" i="1" s="1"/>
  <c r="B153" i="1" s="1"/>
  <c r="C153" i="1" s="1"/>
  <c r="B154" i="1" s="1"/>
  <c r="C154" i="1" s="1"/>
  <c r="B155" i="1" s="1"/>
  <c r="C155" i="1" s="1"/>
  <c r="B156" i="1" s="1"/>
  <c r="C156" i="1" s="1"/>
  <c r="B157" i="1" s="1"/>
  <c r="C157" i="1" s="1"/>
  <c r="B158" i="1" s="1"/>
  <c r="C158" i="1" s="1"/>
  <c r="B159" i="1" s="1"/>
  <c r="C159" i="1" s="1"/>
  <c r="B160" i="1" s="1"/>
  <c r="C160" i="1" s="1"/>
  <c r="B161" i="1" s="1"/>
  <c r="C161" i="1" s="1"/>
  <c r="B162" i="1" s="1"/>
  <c r="C162" i="1" s="1"/>
  <c r="B163" i="1" s="1"/>
  <c r="C163" i="1" s="1"/>
  <c r="B164" i="1" s="1"/>
  <c r="C164" i="1" s="1"/>
  <c r="B165" i="1" s="1"/>
  <c r="C165" i="1" s="1"/>
  <c r="B166" i="1" s="1"/>
  <c r="C166" i="1" s="1"/>
  <c r="B167" i="1" s="1"/>
  <c r="C167" i="1" s="1"/>
  <c r="B168" i="1" s="1"/>
  <c r="C168" i="1" s="1"/>
  <c r="A42" i="1"/>
  <c r="D41" i="1"/>
  <c r="D170" i="1" s="1"/>
  <c r="A170" i="1" s="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C4" i="1"/>
  <c r="B5" i="1" s="1"/>
  <c r="C5" i="1" s="1"/>
  <c r="B6" i="1" s="1"/>
  <c r="C6" i="1" s="1"/>
  <c r="B7" i="1" s="1"/>
  <c r="C7" i="1" s="1"/>
  <c r="B8" i="1" s="1"/>
  <c r="C8" i="1" s="1"/>
  <c r="B9" i="1" s="1"/>
  <c r="C9" i="1" s="1"/>
  <c r="B10" i="1" s="1"/>
  <c r="C10" i="1" s="1"/>
  <c r="B11" i="1" s="1"/>
  <c r="C11" i="1" s="1"/>
  <c r="B12" i="1" s="1"/>
  <c r="C12" i="1" s="1"/>
  <c r="B13" i="1" s="1"/>
  <c r="C13" i="1" s="1"/>
  <c r="B14" i="1" s="1"/>
  <c r="C14" i="1" s="1"/>
  <c r="B15" i="1" s="1"/>
  <c r="C15" i="1" s="1"/>
  <c r="B16" i="1" s="1"/>
  <c r="C16" i="1" s="1"/>
  <c r="B17" i="1" s="1"/>
  <c r="C17" i="1" s="1"/>
  <c r="B18" i="1" s="1"/>
  <c r="C18" i="1" s="1"/>
  <c r="B19" i="1" s="1"/>
  <c r="C19" i="1" s="1"/>
  <c r="B20" i="1" s="1"/>
  <c r="C20" i="1" s="1"/>
  <c r="B21" i="1" s="1"/>
  <c r="C21" i="1" s="1"/>
  <c r="B22" i="1" s="1"/>
  <c r="C22" i="1" s="1"/>
  <c r="B23" i="1" s="1"/>
  <c r="C23" i="1" s="1"/>
  <c r="B24" i="1" s="1"/>
  <c r="C24" i="1" s="1"/>
  <c r="B25" i="1" s="1"/>
  <c r="C25" i="1" s="1"/>
  <c r="B26" i="1" s="1"/>
  <c r="C26" i="1" s="1"/>
  <c r="B27" i="1" s="1"/>
  <c r="C27" i="1" s="1"/>
  <c r="B28" i="1" s="1"/>
  <c r="C28" i="1" s="1"/>
  <c r="B29" i="1" s="1"/>
  <c r="C29" i="1" s="1"/>
  <c r="B30" i="1" s="1"/>
  <c r="C30" i="1" s="1"/>
  <c r="B31" i="1" s="1"/>
  <c r="C31" i="1" s="1"/>
  <c r="B32" i="1" s="1"/>
  <c r="C32" i="1" s="1"/>
  <c r="B33" i="1" s="1"/>
  <c r="C33" i="1" s="1"/>
  <c r="B34" i="1" s="1"/>
  <c r="C34" i="1" s="1"/>
  <c r="B35" i="1" s="1"/>
  <c r="C35" i="1" s="1"/>
  <c r="B36" i="1" s="1"/>
  <c r="C36" i="1" s="1"/>
  <c r="B37" i="1" s="1"/>
  <c r="C37" i="1" s="1"/>
  <c r="B38" i="1" s="1"/>
  <c r="C38" i="1" s="1"/>
  <c r="B39" i="1" s="1"/>
  <c r="C39" i="1" s="1"/>
  <c r="A4" i="1"/>
  <c r="A3" i="1"/>
  <c r="A2" i="1"/>
  <c r="A41" i="1" l="1"/>
  <c r="D299" i="1"/>
  <c r="A299" i="1" s="1"/>
</calcChain>
</file>

<file path=xl/sharedStrings.xml><?xml version="1.0" encoding="utf-8"?>
<sst xmlns="http://schemas.openxmlformats.org/spreadsheetml/2006/main" count="1166" uniqueCount="375">
  <si>
    <t>FILTER OPTIONS</t>
  </si>
  <si>
    <t>Time</t>
  </si>
  <si>
    <t>session code</t>
  </si>
  <si>
    <t>Presentations name</t>
  </si>
  <si>
    <t>session title</t>
  </si>
  <si>
    <t>title</t>
  </si>
  <si>
    <t>authors</t>
  </si>
  <si>
    <t>EasyChair</t>
  </si>
  <si>
    <t>Session Chairs TBD</t>
  </si>
  <si>
    <t>COMMENTS</t>
  </si>
  <si>
    <t>Tuesday 1 July</t>
  </si>
  <si>
    <t>Welcome Drinks</t>
  </si>
  <si>
    <t>18:00 - 21:00</t>
  </si>
  <si>
    <t>Wednesday 2 July</t>
  </si>
  <si>
    <t>Registration &amp; Opening</t>
  </si>
  <si>
    <t>8:30 - 9:00</t>
  </si>
  <si>
    <t>Registration</t>
  </si>
  <si>
    <t>Welcome &amp; Opening Remarks</t>
  </si>
  <si>
    <t>9:00 - 9:30</t>
  </si>
  <si>
    <t>Lion Dance</t>
  </si>
  <si>
    <t>9:30 - 9:50</t>
  </si>
  <si>
    <t>Keynote</t>
  </si>
  <si>
    <t>Keynote 1: MARIANA POPESCU</t>
  </si>
  <si>
    <t>9:50 - 10:50</t>
  </si>
  <si>
    <t>Break</t>
  </si>
  <si>
    <t>10:50 - 11:00</t>
  </si>
  <si>
    <t>Catalytic Interfaces</t>
  </si>
  <si>
    <t>CI</t>
  </si>
  <si>
    <t>Catalytic Interfaces - Check In</t>
  </si>
  <si>
    <t>11:00 - 11:20</t>
  </si>
  <si>
    <t>Speaker-led Special Collection Paper Session</t>
  </si>
  <si>
    <t>S-S1</t>
  </si>
  <si>
    <t>Speaker-led Presentations 1</t>
  </si>
  <si>
    <t>INTELLIGENT ROBOTIC ASSEMBLY</t>
  </si>
  <si>
    <t>11:20 - 12:30</t>
  </si>
  <si>
    <t>Victor Leung ✔</t>
  </si>
  <si>
    <t>11:20 - 11:25</t>
  </si>
  <si>
    <t>intro</t>
  </si>
  <si>
    <t>11:25 - 11:40</t>
  </si>
  <si>
    <t>DESIGN VALIDATION FOR ROBOTIC FABRICATION: A MULTI-STAGE FRAMEWORK FOR COMPLEX AND NON-REPETITIVE PROCESSES 
By Pok Yin Victor Leung and Yijiang Huang</t>
  </si>
  <si>
    <t>11:40 - 11:55</t>
  </si>
  <si>
    <t>TPACS: PHYGITAL-AIDED CONSTRUCTION SYSTEM BASED ON MODULAR CUSTOMIZABLE TIMBER FABRICATION
By Yuhong Wu and Tiantian Lo</t>
  </si>
  <si>
    <t>11:55 - 12:10</t>
  </si>
  <si>
    <t>PARAMETRIC BIOMIMICRY: TRANSLATING SPIRAL SEASHELL FORMATION INTO ROBOTIC 3D PRINTING
By Ali Farajmandi and Negar Kalantar</t>
  </si>
  <si>
    <t>12:10 - 12:30</t>
  </si>
  <si>
    <t>Discussion</t>
  </si>
  <si>
    <t>Lunch Break / Poster Viewing</t>
  </si>
  <si>
    <t>12:30 - 13:10</t>
  </si>
  <si>
    <t>Parallel Paper Presentations</t>
  </si>
  <si>
    <t>Parallel Presentations 1</t>
  </si>
  <si>
    <t>13:10 - 14:00</t>
  </si>
  <si>
    <t>13:10 - 13:50</t>
  </si>
  <si>
    <t>P-A1</t>
  </si>
  <si>
    <t>URBAN PERCEPTIONS &amp; PATTERNS</t>
  </si>
  <si>
    <t>13:10 - 13:20</t>
  </si>
  <si>
    <t>SUPERIORITY OF HIGH-DIMENSIONAL LATENT VARIABLE REPRESENTATION IN URBAN SPATIAL STRUCTURE: EVIDENCE FROM AN URBAN CLIMATE STUDY
By Yanting Shen, Mengqing Yu, Chenyu Huang and Jiawei Yao</t>
  </si>
  <si>
    <t>13:20 - 13:30</t>
  </si>
  <si>
    <t>BOUNDARY VITALITY: ANALYZING URBAN PUBLIC PERCEPTION OF SPATIAL AND VISUAL ELEMENTS IN MANHATTAN
By Yutong Wu, Jiani Du, Zhao Zhang and Han Tu</t>
  </si>
  <si>
    <t>13:30 - 13:40</t>
  </si>
  <si>
    <t>ENHANCING END-TO-END PROCESSING, ANALYSIS, AND VISUALIZATION OF CITIZEN PARTICIPATION DATA IN URBAN DESIGN AND PLANNING
By Cem Ataman, Simon Perrault and Bige Tuncer</t>
  </si>
  <si>
    <t>13:40 - 13:50</t>
  </si>
  <si>
    <t>DEEP PERCEPTUAL URBAN FORM
By Chee Meng Chan and Frederick Kim</t>
  </si>
  <si>
    <t>P-B1</t>
  </si>
  <si>
    <t>AUGMENTING DESIGN GENERATION</t>
  </si>
  <si>
    <t xml:space="preserve">
</t>
  </si>
  <si>
    <t>REC-ARCH: A CASE STUDY RECOMMENDER SYSTEM FOR ARCHITECTS USING VISION AND LANGUAGE MODELS
By Danrui Li, Yichao Shi, Yaluo Wang, Ziying Shi and Mubbasir Kapadia</t>
  </si>
  <si>
    <t>Hao Zheng (ext) ?</t>
  </si>
  <si>
    <t>VIDEO! Danrui Li, Yichao Shi, Yaluo Wang, Ziying Shi and Mubbasir Kapadia (Yaluo Wang paid for virtual fee)</t>
  </si>
  <si>
    <t>COLLABORATIVE, CONVERSATIONAL ARCHITECTURAL DESIGN PROCESS BETWEEN HUMAN DESIGNERS AND MULTIMODAL AI AGENTS FOR EARLY-STAGE DESIGN EXPLORATION
By Lok Hang Cheung, Likai Wang and Juan Carlos Dall'Asta</t>
  </si>
  <si>
    <t xml:space="preserve">Backup:
Frank Xue
Tan Tan
</t>
  </si>
  <si>
    <t>TWO-WAY INTERVENTIVE DESIGN AND MANUFACTURING: REAL-TIME DESIGN AND MATERIALITY VISUALIZATION THROUGH MIXED REALITY SYSTEMS BASED ON HAND TRACKING
By Jiaxiang Luo and Tian Tian Lo</t>
  </si>
  <si>
    <t>MORPHOLOGICAL SECTIONS THROUGH LATENT SPACE
By Xin Wang and Sam Joyce</t>
  </si>
  <si>
    <t>13:50 - 14:00</t>
  </si>
  <si>
    <t>INTEGRATING AI TOOLS AND METHODS IN THE DESIGN PROCESS
By Jaechang Ko, Sora Key and Mark Clayton</t>
  </si>
  <si>
    <t xml:space="preserve">P-C1 </t>
  </si>
  <si>
    <t>INTELLIGENT ROBOTICS &amp; LAYOUT PLANNING</t>
  </si>
  <si>
    <t>Victor Leung ✔
Peter Bus ?</t>
  </si>
  <si>
    <t>MACHINE LEARNING AND MIXED REALITY-CONTROLLED CABLE ROBOTS FOR REAL-TIME CONSTRUCTION AUTOMATION
By Qi Wang, Zhiyong Dong, Maowei Jiang and Peter Búš</t>
  </si>
  <si>
    <t>ENHANCING ROBOTIC EMBODIMENT IN ARCHITECTURE: AN INTELLIGENT APPROACH COMBINING VISION SYSTEMS AND GENERATIVE NEURAL NETWORKS FOR AUTONOMOUS DESIGN-TO-PRODUCTION
By Zhiyong Dong, Qi Wang, Maowei Jiang and Peter Búš</t>
  </si>
  <si>
    <t>GRASP-TO-MILL (GTM) INTEGRATED WORKFLOW FOR NATURAL LOG JOINT FABRICATION BASED ON MULTI-OBJECTIVE OPTIMIZATION ALGORITHM
By Yalei Zhu, Tianyi Gao, Hua Chai and Philip F. Yuan</t>
  </si>
  <si>
    <t>AUGMENTED ASSEMBLY: AN EXPLORATION OF MODULAR DESIGN TO FABRICATION BASED ON EXTENDED REALITY
By Zhiyong Dong, Zhiqian Liu and Peter Búš</t>
  </si>
  <si>
    <t>STOCK-CONSTRAINED DESIGN OF IRREGULAR MATERIAL BASED ON GRAPH NEURAL NETWORKS
By Qinhui Yang, Hua Chai and Philip F. Yuan</t>
  </si>
  <si>
    <t>P-D1</t>
  </si>
  <si>
    <t>SUSTAINABLE BUILDING DESIGN PROCESSES</t>
  </si>
  <si>
    <t xml:space="preserve">Provides NG? </t>
  </si>
  <si>
    <t>DESIGN AND MANUFACTURE OF WASTE TIMBER COMPOSITE PANELS: SUSTAINABLE AND INNOVATIVE USE OF RECYCLED TIMBER
By Yu Li, Jiapan Sun, Bingbing Fan and Yixuan Liu</t>
  </si>
  <si>
    <t>FROM CRAFT TO COMMUNITY: PARTICIPATORY UPCYCLING IN PUBLIC HOUSING VIA DIGITAL FABRICATION
By Patrick So, Boyuan Yu, Jianing Luo, Evan Wu, Zhongding Cui and Provides Ng</t>
  </si>
  <si>
    <t>MATERIAL REUSE IN HERITAGE CONSERVATION: DEVELOPING A DIGITAL DESIGN-TO-PRODUCTION CIRCULAR WORKFLOW
By Oceane Durand-Maniclas, Gulnaz Aksenova and Catherine De Wolf</t>
  </si>
  <si>
    <t>COLLABORATIVE DEVELOPMENT OF EARTHQUAKE-RESISTANT AND VARIABLE 3D PRINTED HOUSING
By Rodrigo Garcia-Alvarado</t>
  </si>
  <si>
    <t>BPMN-BASED BUILDING PROJECT LIFECYCLE ANALYSIS WITH A CORE OF BIM: TAKING A CAMPUS PROJECT AS AN EXAMPLE
By Siwen Cao, Hao Sun and Ziyu Tong</t>
  </si>
  <si>
    <t>14:00 - 14:20</t>
  </si>
  <si>
    <t>Special Collection Paper Session</t>
  </si>
  <si>
    <t>S-1</t>
  </si>
  <si>
    <t>Special Collection Presentations 1</t>
  </si>
  <si>
    <t xml:space="preserve">GENERATING BUILDING LAYOUT </t>
  </si>
  <si>
    <t>14:20 - 15:20</t>
  </si>
  <si>
    <t>Thomas Wortmann???? (ext)</t>
  </si>
  <si>
    <t>14:20 - 14:35</t>
  </si>
  <si>
    <t>STEPWISE GENERATION METHOD FOR COMPETITION-LEVEL FLOOR PLANS OF MEDIUM AND LARGE-SCALE GYMNASIUMS BASED ON RULE CONSTRAINTS AND DIFFUSION MODELS
By Yufan Meng, Yetong Huang, Zhenyu Wang and Fang Zheng</t>
  </si>
  <si>
    <t xml:space="preserve">Backup:
Tan Tan
</t>
  </si>
  <si>
    <t>14:35 - 14:50</t>
  </si>
  <si>
    <t>FLOOR PLAN AFFORDANCE PREDICTION: IS THE FLOOR PLAN LAYOUT DETERMINED BY ITS OUTLINE OR THE ARCHITECT
By Martin Bielik, Milan Valasek, Luyang Zhang and Sven Schneider</t>
  </si>
  <si>
    <t>14:50 - 15:05</t>
  </si>
  <si>
    <t>BRIDGING THE GAP: ENHANCING AI-GENERATED FLOOR PLANS WITH MULTI-MODAL DATA INTEGRATION
By Martin Bielik, Sven Schneider, Luyang Zhang and Milan Valasek</t>
  </si>
  <si>
    <t>15:05 - 15:20</t>
  </si>
  <si>
    <t>GENERATING OPEN OFFICE LAYOUTS USING FLEXIBLE ARCHITECTURAL COMPONENTS
By Sivan Grodsky, Alex Nguyen, Panos Chatzitsakyris, Danut Bidasca, Thanasis Farangas, Andrew Vande Moere and Davide Schaumann</t>
  </si>
  <si>
    <t>15:20 - 15:40</t>
  </si>
  <si>
    <t>S-2</t>
  </si>
  <si>
    <t>Special Collection Presentations 2</t>
  </si>
  <si>
    <t>AUGMENTING &amp; ADVANCING DESIGN</t>
  </si>
  <si>
    <t>15:40 - 16:25</t>
  </si>
  <si>
    <t>Garvin Goepel</t>
  </si>
  <si>
    <t>15:40 - 15:55</t>
  </si>
  <si>
    <t>TRANSFORMING ARCHITECTURAL EDUCATION: THE IMPACT OF VR AND AR ON UNDERSTANDING BUILDING ENERGY EFFICIENCY
By Kifah Alhazzaa and Wei Yan</t>
  </si>
  <si>
    <t>15:55 - 16:10</t>
  </si>
  <si>
    <t>EVALUATING AUGMENTED REALITY AS A TOOL FOR DEMOCRATIZING BUILT ENVIRONMENT DESIGN
By Tina Behrouz, Halil Erhan and Elif Sezen Yagmur Kilimci</t>
  </si>
  <si>
    <t xml:space="preserve">I will give a keynote speech at another venue on July 1. To arrange my trip can you let me know of our papers’ presentation days? Will it be possible to put them on a date when I can arrive? </t>
  </si>
  <si>
    <t>16:10 - 16:25</t>
  </si>
  <si>
    <t>OPEN-SOURCE APPROACHES TO INTEGRATING ADVANCED ROBOTIC SYSTEMS IN SUSTAINABLE DESIGN
By Celso Urroz and Shermeen Yousif</t>
  </si>
  <si>
    <t>Break / Relocate</t>
  </si>
  <si>
    <t>16:25 - 17:00</t>
  </si>
  <si>
    <t>Keynote 2: SHIGERU BAN</t>
  </si>
  <si>
    <t>17:00 - 18:00</t>
  </si>
  <si>
    <t>Catalytic Interfaces - Work Presentations</t>
  </si>
  <si>
    <t>18:00 - 19:00</t>
  </si>
  <si>
    <t>Catalytic Interfaces - Work Session</t>
  </si>
  <si>
    <t>Thursday 3 July</t>
  </si>
  <si>
    <t>Keynote 3: WANYU HE</t>
  </si>
  <si>
    <t>9:00 - 10:00</t>
  </si>
  <si>
    <t>10:00 - 10:10</t>
  </si>
  <si>
    <t>10:10 - 10:30</t>
  </si>
  <si>
    <t>S-S2</t>
  </si>
  <si>
    <t>Speaker-led Presentations 2</t>
  </si>
  <si>
    <t>URBAN PERCEPTIONS &amp; PATTERNS I</t>
  </si>
  <si>
    <t>10:30 - 11:55</t>
  </si>
  <si>
    <t>Rudi Stouffs?</t>
  </si>
  <si>
    <t>10:30 - 10:35</t>
  </si>
  <si>
    <t>10:35 - 10:50</t>
  </si>
  <si>
    <t>A GRAPH-BASED PREDICTION MODEL FOR SUSTAINABLE URBAN RENEWAL: INTEGRATING GRAPH CONVOLUTIONAL NETWORKS FOR CONCRETE RECYCLING POTENTIAL EVALUATION
By Haoyang He, Han Li, Wanyu Pei, Shuyang Li and Rudi Stouffs</t>
  </si>
  <si>
    <t>10:50 - 11:05</t>
  </si>
  <si>
    <t>SHADOW-BASED PATH DETECTION IN RAPIDLY EXPANDING URBAN AREAS: UTILIZING SHADOW DETECTION AND GRAPH-BASED VECTORIZATION TO UNCOVER INFORMAL ROAD NETWORKS IN HIGH-DENSITY SLUM AREAS
By Angelos Chronis, Oana Taut, Erfan Rezaei Azari, Cheng Hen Chen and Joshua Oates</t>
  </si>
  <si>
    <t>11:05 - 11:20</t>
  </si>
  <si>
    <t>AN URBAN MORPHOLOGY ANALYSIS FRAMEWORK FOR SYNERGISTIC IMPROVEMENT OF MULTIPLE PERFORMANCE OBJECTIVES: EXEMPLIFIED BY OUTDOOR THERMAL COMFORT AND BUILDING ENERGY EFFICIENCY
By Minghao Wang, Chi Zhang and Yuchen Qin</t>
  </si>
  <si>
    <t>11:20 - 11:35</t>
  </si>
  <si>
    <t>DIGITAL DESIGN SUPPORT FOR UAV DELIVERY NOISE REDUCTION STRATEGIES IN HIGH DENSITY URBAN ENVIRONMENTS
By le zhao , Christiane M. HERR (Regular) , Thomas FISCHER (Regular)</t>
  </si>
  <si>
    <t>11:35 - 11:55</t>
  </si>
  <si>
    <t>11:55 - 12:45</t>
  </si>
  <si>
    <t>Parallel Presentations 2</t>
  </si>
  <si>
    <t>12:45 - 13:35</t>
  </si>
  <si>
    <t>P-A2</t>
  </si>
  <si>
    <t>URBAN INFRASTRUCTURE &amp; ENVIRONMENTAL SYSTEMS</t>
  </si>
  <si>
    <t>Christiane M. Herr?</t>
  </si>
  <si>
    <t>12:45 - 12:55</t>
  </si>
  <si>
    <t>COMPUTING URBAN TISSUE: LANDSLIDE MITIGATION STRATEGY OF URBAN INFRASTRUCTURE DESIGN
By Chuheng Tan, Shaopo Huang, Haipeng Zhong and Quan Zhou</t>
  </si>
  <si>
    <t>12:55 - 13:05</t>
  </si>
  <si>
    <t>SUSTAINABLE SUSTAINABLE SOCIAL BUILDING ASSISTANT (SSOBA): TRANSFORMING ENERGY USE VIA DIGITAL TWINS, ENVIRONMENTAL SENSING AND OCCUPANT BEHAVIOUR CHANGE
By Frederick Peter Ortner, Sezgi Yalcinkaya Hamarat, Chewon Han, Simon Perrault, Mei Chee Tan, Wei Lek Kwan, Kai Zheng and Praveen Govindarajan</t>
  </si>
  <si>
    <t>13:05 - 13:15</t>
  </si>
  <si>
    <t>UNDERSTAND URBAN BUILDING ENERGY CONSUMPTION WITH EXPLAINABLE MACHINE LEARNING APPROACHES
By Hang Xu, Chengxuan Li, Timur Dogan and Patrick Kastner</t>
  </si>
  <si>
    <t>13:15 - 13:25</t>
  </si>
  <si>
    <t>ENHANCING URBAN VITALITY THROUGH INTERACTIVE XR INSTALLATIONS: FOSTERING ENGAGEMENT AND ENVIRONMENTAL AWARENESS
By Xiaoxin Lu, Hanzhe Bao and Tiantian Lo</t>
  </si>
  <si>
    <t>13:25 - 13:35</t>
  </si>
  <si>
    <t>PERFORMANCE-BASED URBAN ENVIRONMENTAL RESTORATION: A MULTI-LAYER CELLULAR AUTOMATA MODEL FOR ECOLOGICAL DESIGN SIMULATION IN HIGH-DENSITY CITIES
By Yiming Liu and Christiane M. Herr</t>
  </si>
  <si>
    <t>P-B2</t>
  </si>
  <si>
    <t>AI FOR DESIGN EVALUATION</t>
  </si>
  <si>
    <t>Immanuel Koh✔</t>
  </si>
  <si>
    <t>QUANTIFABLE AND UNQUANTIFABLE MACHINE LEARNING MODEL OR ARCHITECTURAL PREFERENCE PREDICTION BASED ON MBTI
By Xinhui Xu, Yulu Zhang, Wenxuan Wang, Tinghao Feng, Philip F. Yuan and Zhengcheng He</t>
  </si>
  <si>
    <t>QUANTIFYING ARCHITECTURAL EXPERIENCE USING VLMS: DOES AI DREAM OF RENDERED SPACES?
By Gal Guz, Nikolas Martelaro, Gerhard Schubert and Jonathan Dortheimer</t>
  </si>
  <si>
    <t>VIDEO: Israel-Iran War</t>
  </si>
  <si>
    <t>ZERO-SHOT ARCHITECTURAL STYLE CLASSIFICATION WITH LARGE LANGUAGE MODELS
By Lei Li, Yixin Hao and Runjia Tian</t>
  </si>
  <si>
    <t>EVALUATION METHOD OF AI-GENERATED ARCHITECTURAL FACADE IMAGES BASED ON DCNN
By Li Zhang, Jiawei Wang, Zhicheng Wang, Yuetong Wu, Han Li, Qi Zhang and Bo Gao</t>
  </si>
  <si>
    <t>INTELLIGENT SPATIAL PLANNING: A MULTIDIMENSIONAL STUDY ON SWISS RESIDENTIAL DESIGN USING LARGE LANGUAGE MODEL (GPT-4)
By Dongming Xu, Weirun Lin, Xinyi Shen, Sherif Eltarabishy and Davis Adam</t>
  </si>
  <si>
    <t>P-C2</t>
  </si>
  <si>
    <t>STRUCTURAL, FABRICATION &amp; MATERIAL LOGIC</t>
  </si>
  <si>
    <t>Juan Jose Castellon ✔</t>
  </si>
  <si>
    <t>ADAPTIVE DESIGN AND FABRICATION OF MODULAR TOPOLOGICAL INTERLOCKING ASSEMBLIES
By Michail Georgiou and Odysseas Georgiou</t>
  </si>
  <si>
    <t>ADAPTIVE ORIGAMI: FABRICATION OF PNEUMATIC-ACTUATED ADAPTIVE FOLDING SYSTEM
By Karagozaiym Turganbek, Sebastian Wimmer, Martin Hutter, Alexander Karaivanov, Nicolaj Kirisits and Zeynep Aksöz-Balzar</t>
  </si>
  <si>
    <t>VIDEO! Sebastian Wimmer, Martin Hutter, Alexander Karaivanov, Nicolaj Kirisits and Zeynep Aksöz-Balzar (uni no support for travel, Karagozaiym Turganbek still paid for ticket already)</t>
  </si>
  <si>
    <t>DEVELOPING STRESS-LINE RIBBED TIMBER SLABS: LAMINATING TIMBER RIBS WITH STAY-IN-PLACE FORMWORK
By Yiting Sun, Hua Chai, Tianyi Gao and Philip F. Yuan</t>
  </si>
  <si>
    <t>A FABRICATION GRAMMAR FOR ROBOTIC SAND PACKING: FROM PRECISE ACTIONS TO EMERGENT SHAPES AND PATTERNS
By Kieron Cook and Benay Gursoy</t>
  </si>
  <si>
    <t>FROM TRADITION TO COMPUTATION: ADAPTIVE CERAMIC FAÇADES INSPIRED BY PERSIAN ICE CAVES (YAKHCHALS)
By Maryam Badiei, Abolhassan Pishahang and Milad Heiranipour</t>
  </si>
  <si>
    <t>12:45 - 13:25</t>
  </si>
  <si>
    <t>P-D2</t>
  </si>
  <si>
    <t>COMMUNITY &amp; COLLECTIVE INTELLIGENCE</t>
  </si>
  <si>
    <t>Backup: Haotian Zhang</t>
  </si>
  <si>
    <t>GAMIFICATION AS A TOOL FOR ENHANCING PUBLIC ENGAGEMENT IN BUILT-ENVIRONMENT DESIGN
By Mehrun-Nisa Raja, Md Zishaan Khan, Halil Erhan and Tina Bahrouz</t>
  </si>
  <si>
    <t>ARCHITECTURAL INTERFACES FOR SHARED SPACES – A MULTI-USER PERSPECTIVE ON INTELLIGENT ENVIRONMENT INTERACTIONS
By Ilayda Memis, Frank Petzold and Gerhard Schubert</t>
  </si>
  <si>
    <t>CRAFTING A PARTICIPATORY APPROACH TOWARDS TRADITIONAL VIETNAMESE WEAVING AND DIGITAL COMPUTATION
By Hojung Kim</t>
  </si>
  <si>
    <t>DESIGN QUALITY HOUSING ASSESSMENT METHODOLOGY: SUPPORTING HEURISTICS WITH EVIDENCE-BASED DECISION-MAKING
By Darcy Zelenko, Isabel Solin, Jean-Paul Rollo, Sahar Soltani, Camilo Cruz Gambardella and Duncan Maxwell</t>
  </si>
  <si>
    <t>13:35 - 13:55</t>
  </si>
  <si>
    <t>S-S3</t>
  </si>
  <si>
    <t>Speaker-led Presentations 3</t>
  </si>
  <si>
    <t>MORPHOLOGY ACROSS SCALES</t>
  </si>
  <si>
    <t>13:55 - 15:20</t>
  </si>
  <si>
    <t>Kam-Ming Mark Tam</t>
  </si>
  <si>
    <t>13:55 - 14:00</t>
  </si>
  <si>
    <t>14:00 - 14:15</t>
  </si>
  <si>
    <t>DISCOVERING PARETO-EFFICIENT URBAN NETWORKS THROUGH SHAPE GRAMMAR, MULTI-OBJECTIVE OPTIMISATION AND MACHINE LEARNING
By Yanran Shan and Kam-Ming Mark Tam</t>
  </si>
  <si>
    <t>14:15 - 14:30</t>
  </si>
  <si>
    <t>ENCODING PERFORMANCE IN DIGITAL WEAVE DESIGN USING AI AND OPTIMISATION
By Xinru Li and Kam-Ming Mark Tam</t>
  </si>
  <si>
    <t>14:30 - 14:45</t>
  </si>
  <si>
    <t>IMPROVING ARCHITECTURAL FORM CLASSIFICATION THROUGH SALINGAROS’ METRICS AND TOPOLOGICAL DATA ANALYSIS
By Chen-An Lee and June-Hao Hou</t>
  </si>
  <si>
    <t>14:45 - 15:00</t>
  </si>
  <si>
    <t>GENERATIVE DESIGN FOR COASTAL RESILIENCE: A COMPUTATIONAL APPROACH TO LIVING SHORELINES
By Michael Dieffenthaller, Hallie Fischman, Christine Angelini and Karla Saldana Ochoa</t>
  </si>
  <si>
    <t>15:00 - 15:20</t>
  </si>
  <si>
    <t>S-3</t>
  </si>
  <si>
    <t>Special Collection Presentations 3</t>
  </si>
  <si>
    <t>URBAN PERCEPTIONS &amp; PATTERNS II</t>
  </si>
  <si>
    <t>Hongshan Guo</t>
  </si>
  <si>
    <t>URBAN VISUAL HETEROGENEITY: AN INTELLIGENT APPROACH TO EXAMINING TRAVEL PREFERENCES IN NANJING
By Zhixian Li</t>
  </si>
  <si>
    <t>REVEALING THE RELATIONSHIP BETWEEN SITE PLANNING STRATEGIES AND SENTIMENT THROUGH DEEP LEARNING: ENHANCING DATA-DRIVEN ARCHITECTURAL DESIGN STRATEGIES
By Qian Cao, Weijing Wang and Rudi Stouffs</t>
  </si>
  <si>
    <t>HOW CHINESE IS CHINATOWN: MEASURING THE RELATIONSHIP BETWEEN GEOGRAPHIC AUTHENTICITY PERCEPTION AND STREETSCAPE FEATURES THROUGH MACHINE LEARNING
By Zixi Zhang, Wenjing Li and Waishan Qiu</t>
  </si>
  <si>
    <t>16:25 - 16:45</t>
  </si>
  <si>
    <t>S-4</t>
  </si>
  <si>
    <t>Special Collection Presentations 4</t>
  </si>
  <si>
    <t>16:45 - 17:45</t>
  </si>
  <si>
    <t>16:45 - 17:00</t>
  </si>
  <si>
    <t>ROBOTIC FABRICATION AND IN-SITU 3D PRINTING FOR A NATURAL TIMBER-BAMBOO STRUCTURE
By Haojie Fan, Xinyue Xia, Shunuo Li, Huangyan Zheng, Haoyi Xu and Sining Wang</t>
  </si>
  <si>
    <t>17:00 - 17:15</t>
  </si>
  <si>
    <t>INVESTIGATING SELF-SHAPING FIBRE COMPOSITES: TUNNING CURING PARAMETERS TO OPTIMISE RESULTING CURVATURE
By Ariel Yakobi, Eran Sharon and Arielle Blonder</t>
  </si>
  <si>
    <t>17:15 - 17:30</t>
  </si>
  <si>
    <t>PREDICTING STRESS-STRAIN CHARACTERISTICS OF 3D PRINTED BCC LATTICE STRUCTURES WITH VARIABLE GRID GRADATION USING NEURAL NETWORKS
By Mahdi Jandaghimeibodi, Mostafa Hosseini Vajari, Morteza Behzadnasab and Soheil Dariushi</t>
  </si>
  <si>
    <t>17:30 - 17:45</t>
  </si>
  <si>
    <t>CNT FIBER-WOVEN PROTOTYPES: ZERO WEIGHT, INFINITE SPAN
By Juan Jose Castellon</t>
  </si>
  <si>
    <t>Juan will be landing in Hong Kong on Wednesday July 2 at 4:40 pm. so, unfortunately, I will miss the first day of the conference</t>
  </si>
  <si>
    <t>17:45 - 19:16</t>
  </si>
  <si>
    <t>Friday 4 July</t>
  </si>
  <si>
    <t>Keynote 4: DANIELA MITTERBERGER</t>
  </si>
  <si>
    <t>S-S4</t>
  </si>
  <si>
    <t>Speaker-led Presentations 4</t>
  </si>
  <si>
    <t>PROMPTING ARCHITECTURE</t>
  </si>
  <si>
    <t>10:30 - 11:40</t>
  </si>
  <si>
    <t>Christiane Herr✔</t>
  </si>
  <si>
    <t>Christiane</t>
  </si>
  <si>
    <t>INTERACTIVE BIM MODELLING ASSISTANT WITH MULTI-AGENT LLM
By Chao Tang, Kam-Ming Mark Tam and Christiane Margerita Herr</t>
  </si>
  <si>
    <t>TEXT-TO-SIHEYUAN: LLM-BASED MULTI-AGENT PROCEDURAL GENERATION SYSTEM OF VERNACULAR ARCHITECTURE IN BEIJING
By Zixi Zhang, Wenshuo Zhang and Runjia Tian</t>
  </si>
  <si>
    <t>PROMPT-TO-PRODUCTION: AI-DRIVEN DESIGN AND ROBOTIC FABRICATION FOR RAPIDLY RECONFIGURABLE CIRCULAR TIMBER ASSEMBLIES
By Nils Opgenorth, Zhenxiang Huang, Jonas Maria Mertens, Hans Jakob Wagner and Achim Menges</t>
  </si>
  <si>
    <t>11:20 - 11:40</t>
  </si>
  <si>
    <t>11:40 - 12:00</t>
  </si>
  <si>
    <t>P-A3</t>
  </si>
  <si>
    <t>Parallel Presentations 3</t>
  </si>
  <si>
    <t>12:00 - 12:50</t>
  </si>
  <si>
    <t>Immanuel Koh? / Hao Zheng? / Thomas Wortmann?</t>
  </si>
  <si>
    <t>12:00 - 12:40</t>
  </si>
  <si>
    <t>EVALUATING &amp; EXPANDING AI</t>
  </si>
  <si>
    <t>12:00 - 12:10</t>
  </si>
  <si>
    <t xml:space="preserve">12:10 - 12:20 </t>
  </si>
  <si>
    <t>AI2D-ARCHITECTURE: A BENCHMARK FOR EVALUATING MULTIMODAL LARGE LANGUAGE MODELS IN ARCHITECTURE
By Xuyou Yang and Immanuel Koh</t>
  </si>
  <si>
    <t>12:20 - 12:30</t>
  </si>
  <si>
    <t>COMPARING DIFFERENT BUILDING REPRESENTATIONS FOR READABILITY BY LARGE LANGUAGE MODELS
By Guy Austern, Moria Schwarz and Boaz Sternfeld</t>
  </si>
  <si>
    <t>VIDEO! #CO 145 Guy Austern, Moria Schwarz and Boaz Sternfeld (Guy Austern at hospital, paid, no other authors can replace him)</t>
  </si>
  <si>
    <t>12:30 - 12:40</t>
  </si>
  <si>
    <t>INTEGRATING REGULATORY COMPLIANCE IN AI-ASSISTED ARCHITECTURAL DESIGN
By Tinghao Feng, Yulu Zhang, Xinhui Xu, Zhengcheng He, Wenjing Li and Philip F. Yuan</t>
  </si>
  <si>
    <t>[ 457 ]</t>
  </si>
  <si>
    <t>12:40 - 12:50</t>
  </si>
  <si>
    <t>Augmenting IFC-Based BIM Models for Graph Neural Network Training of Non-Orthogonal Spatial Typologies: A Context-Informed Design Methodology
By Matthias Hornung, Markus Renner, Diellza Elshani, Mathias Niepert and Thomas Wortmann</t>
  </si>
  <si>
    <t>P-B3</t>
  </si>
  <si>
    <t>IMMERSIVE LEARNING &amp; DESIGN</t>
  </si>
  <si>
    <t>CAN AI-BASED SUGGESTIONS SUPPORT DESIGNING IN IMMERSIVE ENVIRONMENTS?
By Tai Shobuya, Yuval Kahlon, Yukiharu Iioka and Haruyuki Fujii</t>
  </si>
  <si>
    <t>AUGMENTED SCALE PERCEPTION: EXPLORING A FULL-SCALE ARCHITECTURAL EDUCATION APPROACH BASED ON MAR
By Han Jin, Hao Wang and Ruifeng Tian</t>
  </si>
  <si>
    <t>VIRTUAL SPACE DESIGN THROUGH PHYSICAL OBJECT RECOGNITION, HOLOLENS-BASED FURNITURE TRACKING AND AI-DRIVEN REAL-TIME LAYOUT GENERATION
By Wenqian Yang, Anton Savov and Benjamin Dillenguber</t>
  </si>
  <si>
    <t>A FRAMEWORK FOR VIRTUAL WINDOWS TO ENHANCE INDOOR SPATIAL EXPERIENCE IN EXTENDED REALITY
By Hyeokjin Choi, Jun Seo Lee, Jae Yeon Shin and Seung Hyun Cha</t>
  </si>
  <si>
    <t>RESONANT BLECH: EMERGENT SOUNDSCAPES THROUGH HUMAN-AI INTERACTION
By Alexander Urban, Moritz Koegel, Lukas Fink Pielsticker, Alexander Karaivanov, Nicolaj Kirisits and Zeynep Aksöz Balzar</t>
  </si>
  <si>
    <t>VIDEO! Moritz Koegel, Lukas Fink Pielsticker, Alexander Karaivanov, Nicolaj Kirisits and Zeynep Aksöz Balzar Alexander Urban (uni no support for travel, Alexander Urban still paid for ticket already)</t>
  </si>
  <si>
    <t>P-C3</t>
  </si>
  <si>
    <t>BUILDING ARCHITECTURAL INSIGHTS</t>
  </si>
  <si>
    <t>Hank Haeusler??</t>
  </si>
  <si>
    <t>CONSOLIDATED EMPIRICAL BIO-MATERIAL REPOSITORY
By M. Hank Haeusler, Azia Carrother and Cristina Ramos Jaime</t>
  </si>
  <si>
    <t>Backup:
Achilleas Xydis</t>
  </si>
  <si>
    <t>GENERATIVE DESIGN INTELLIGENCE: EXTRACTING DESIGN SPECIFIC SUSTAINABILITY INSIGHTS AND MATERIAL METRICS FROM GENERATIVE ARTIFICIAL INTELLIGENCE OUTPUT
By Richa Gupta and Alexander Htet Kyaw</t>
  </si>
  <si>
    <t>VIDEO! Richa Gupta and Alexander Htet Kyaw (offered for a video presentation, but no reply nor pay yet)</t>
  </si>
  <si>
    <t>ENVIRONMENTAL-DRIVEN DIGITAL FABRICATION: CONTROLLING 3D-PRINTING PARAMETERS WITH DATA FROM CFD SIMULATION
By Hangchuan Wei, Richard Beckett and Marjan Colletti</t>
  </si>
  <si>
    <t>OPTIMIZED ACOUSTICS FOR MEETING PODS
By Giacomo Montiani, Matthias Helmreich and Achilleas Xydis</t>
  </si>
  <si>
    <t>12:50 - 13:40</t>
  </si>
  <si>
    <t>S-S5</t>
  </si>
  <si>
    <t>Speaker-led Presentations 5</t>
  </si>
  <si>
    <t>ARCHITECTURAL COMPUTING &amp; REASONING</t>
  </si>
  <si>
    <t>13:40 - 14:50</t>
  </si>
  <si>
    <t>Immanuel Koh ✔</t>
  </si>
  <si>
    <t>13:40 - 13:45</t>
  </si>
  <si>
    <t>13:45 - 14:00</t>
  </si>
  <si>
    <t>CONSTRUCTGNN: A GRAPH NEURAL NETWORK FRAMEWORK FOR ADAPTIVE 3D ARCHITECTURAL LAYOUT
By Quan Zhou, Yize Li, Zejian Li and Immanuel Koh</t>
  </si>
  <si>
    <t>READING BETWEEN THE LINES: BRIDGING AI AND ARCHITECTURAL KNOWLEDGE IN FLOORPLAN UNDERSTANDING
By Marija Mateljan, Seyran Khademi and Georg Vrachliotis</t>
  </si>
  <si>
    <t>COMPUTING BEYOND THE VITRUVIAN CANON: AMBIGUITY AS A CATALYST IN COMPUTATIONAL DESIGN THEORY
By Hayri Dortdivanlioglu</t>
  </si>
  <si>
    <t>14:30 - 14:50</t>
  </si>
  <si>
    <t>14:50 - 15:10</t>
  </si>
  <si>
    <t>Catalytic Interfaces Presentation</t>
  </si>
  <si>
    <t>15:10 - 17:10</t>
  </si>
  <si>
    <t>15:10 - 15:30</t>
  </si>
  <si>
    <t>TOWARDS AN INTERDISCIPLINARY ACADEMIA INDUSTRY RESEARCH NEXUS - COLLABORATIVE PATHWAYS TO SUSTAINABLE DIGITAL INNOVATION IN AEC 
By M. Hank Haeusler, Ivana Kuzmanovska, Christopher Bamborough, Mark Burry, Jane Burry, Michael Ostwald, Blair Kuys, Sisi Zlatanova, George Shinkle</t>
  </si>
  <si>
    <t>15:30 - 15:50</t>
  </si>
  <si>
    <t>RETHINKING PARTICIPATORY ARCHITECTURAL DESIGN: HARNESSING IMMERSIVE ENVIRONMENTS &amp; AI FOR FACILITATING DESIGNER-STAKEHOLDER COLLABORATION
By Weiheng Hu, Yuval Kahlon, Momoko Nakatani, Haruyuki Fujii</t>
  </si>
  <si>
    <t>15:50 - 16:10</t>
  </si>
  <si>
    <t>FROM AUGMENTATION TO AUTONOMY: HUMAN–XR–ROBOT SYNERGIES IN ADVANCED DESIGN AND CONSTRUCTION
By Igor Pantic, Soomeen Hahm, Peter Búš, Zhiyong Dong</t>
  </si>
  <si>
    <t>16:10 - 16:30</t>
  </si>
  <si>
    <t>TOWARDS AIXR: DESIGNING A FRAMEWORK FOR AI-INFORMED HUMAN-ROBOT COLLABORATIVE ASSEMBLY OF NONUNIFORM MATERIAL IN EXTENDED REALITY 
By Matias del Campo, Joseph Kenny, Eleni Vasiliki Alexi, Sandra Manninger, Dr. Daniela Mitterberger</t>
  </si>
  <si>
    <t xml:space="preserve"> Sandra will arrive in Hong Kong on July 3 around evening. I'd appreciate if the presentation would be scheduled for after that date.</t>
  </si>
  <si>
    <t>16:30 - 16:50</t>
  </si>
  <si>
    <t>BUILDINGS AS SYMBIOTIC SYSTEMS: CYBERNETIC ADAPTATION BETWEEN TECHNICAL AND BIOLOGICAL SYSTEMS IN ARCHITECTURE 
By Davide Schaumann, Andrew Vande Moere, Yuval Kahlon, Farahbod Heidari, Alex Binh Vinh Duc Nguyen, Yiming Liu, Umaru Mohammed Bongwirnso, Sihao Chen, Thomas Fischer, Christiane M. Herr</t>
  </si>
  <si>
    <t>16:50 - 17:10</t>
  </si>
  <si>
    <t>CATALYTIC DESIGN INTERFACES: AI-GUIDED BUILDING MASSING AND AUTOMATED COMPLIANCE
By Tejas Chavan, Houssame E. Hsain, Camiel Weijenberg and Sayjel V. Patel</t>
  </si>
  <si>
    <t>17:10 - 17:30</t>
  </si>
  <si>
    <t>Keynote 5: WILSON LU</t>
  </si>
  <si>
    <t>17:30 - 18:30</t>
  </si>
  <si>
    <t>Closing Remarks</t>
  </si>
  <si>
    <t>18:30 -19:00</t>
  </si>
  <si>
    <t>Gala dinner</t>
  </si>
  <si>
    <t>19:30 - 22:30</t>
  </si>
  <si>
    <t>Banquet Dinner</t>
  </si>
  <si>
    <t>Schedule</t>
  </si>
  <si>
    <t>#</t>
  </si>
  <si>
    <t>Title + Authour</t>
  </si>
  <si>
    <t xml:space="preserve">Tuesday </t>
  </si>
  <si>
    <t>Wednesday</t>
  </si>
  <si>
    <t>09:00 - 09:10</t>
  </si>
  <si>
    <t>CF25 Chair Intro</t>
  </si>
  <si>
    <t>09:10 - 09:15</t>
  </si>
  <si>
    <t>CAAD Futures intro (Candy)</t>
  </si>
  <si>
    <t>09:15 - 09:20</t>
  </si>
  <si>
    <t>CF25 Events promo + sign-up</t>
  </si>
  <si>
    <t>Speaker-driven Selected Paper Session 1:
INTELLIGENT ROBOTIC ASSEMBLY</t>
  </si>
  <si>
    <t>DESIGN VALIDATION FOR ROBOTIC FABRICATION: A MULTI-STAGE FRAMEWORK FOR COMPLEX AND NON-REPETITIVE PROCESSES (EDITED)
By Pok Yin Victor Leung and Yijiang Huang</t>
  </si>
  <si>
    <t>A. URBAN PERCEPTIONS &amp; PATTERNS</t>
  </si>
  <si>
    <t>B. AUGMENTING DESIGN GENERATION</t>
  </si>
  <si>
    <t>C. INTELLIGENT ROBOTICS &amp; LAYOUT PLANNING</t>
  </si>
  <si>
    <t>D. SUSTAINABLE BUILDING DESIGN PROCESSES</t>
  </si>
  <si>
    <t>Parallel Paper Presentations:</t>
  </si>
  <si>
    <t>Presentation 1</t>
  </si>
  <si>
    <t>Presentation 2</t>
  </si>
  <si>
    <t>FROM CRAFT TO COMMUNITY: PARTICIPATORY UPCYCLING IN PUBLIC HOUSING VIA DIGITAL FABRICATION
By Provides Ng et al.</t>
  </si>
  <si>
    <t>Presentation 3</t>
  </si>
  <si>
    <t>GRASP-TO-MILL (GTM) INTEGRATED WORKFLOW FOR NATURAL LOG JOINT FABRICATION BASED ON MULTI-OBJECTIVE OPTIMIZATION ALGORITHM
By Yalei Zhu et al.</t>
  </si>
  <si>
    <t>Presentation 4</t>
  </si>
  <si>
    <t>Presentation 5</t>
  </si>
  <si>
    <t xml:space="preserve">Selected Paper Session 1:
INTELLIGENT BUILDING LAYOUT </t>
  </si>
  <si>
    <t>FLOOR PLAN AFFORDANCE PREDICTION: IS THE FLOOR PLAN LAYOUT DETERMINED BY ITS OUTLINE OR THE ARCHITECT?
By Martin Bielik, Milan Valasek, Luyang Zhang and Sven Schneider</t>
  </si>
  <si>
    <t>15:40 - 16:40</t>
  </si>
  <si>
    <t>Selected Paper Session 2:
STRUCTURAL, FABRICATION &amp; MATERIAL INTELLIGENCE</t>
  </si>
  <si>
    <t>16:25 - 16:40</t>
  </si>
  <si>
    <t>16:40 - 17:00</t>
  </si>
  <si>
    <t>Thursday</t>
  </si>
  <si>
    <t>Speaker-driven Selected Paper Session 2:
URBAN PERCEPTIONS &amp; PATTERNS I</t>
  </si>
  <si>
    <t xml:space="preserve">SHADOW-BASED PATH DETECTION IN RAPIDLY EXPANDING URBAN AREAS: UTILIZING SHADOW DETECTION AND GRAPH-BASED VECTORIZATION TO UNCOVER INFORMAL ROAD NETWORKS IN HIGH-DENSITY SLUM AREAS
By </t>
  </si>
  <si>
    <t>A. URBAN INFRASTRUCTURE &amp; ENVIRONMENTAL SYSTEMS</t>
  </si>
  <si>
    <t>B. AI FOR DESIGN EVALUATION</t>
  </si>
  <si>
    <t>C. STRUCTURAL, FABRICATION &amp; MATERIAL INTELLIGENCE</t>
  </si>
  <si>
    <t>D. COMMUNITY INTELLIGENCE</t>
  </si>
  <si>
    <t>QUANTIFABLE AND UNQUANTIFABLE MACHINE LEARNING MODEL OR ARCHITECTURAL PREFERENCE PREDICTION BASED ON MBTI
By Xinhui Xu et al.</t>
  </si>
  <si>
    <t>GAMIFICATION AS A TOOL FOR ENHANCING PUBLIC ENGAGEMENT IN BUILT-ENVIRONMENT DESIGN
By Mehrun-Nisa Raja et al.</t>
  </si>
  <si>
    <t>SUSTAINABLE SUSTAINABLE SOCIAL BUILDING ASSISTANT (SSOBA): TRANSFORMING ENERGY USE VIA DIGITAL TWINS, ENVIRONMENTAL SENSING AND OCCUPANT BEHAVIOUR CHANGE
By Frederick Peter Ortner et al.</t>
  </si>
  <si>
    <t>QUANTIFYING ARCHITECTURAL EXPERIENCE USING VLMS: DOES AI DREAM OF RENDERED SPACES?
By Gal Guz et al.</t>
  </si>
  <si>
    <t>ADAPTIVE ORIGAMI: FABRICATION OF PNEUMATIC-ACTUATED ADAPTIVE FOLDING SYSTEM
By Karagozaiym Turganbek et al.</t>
  </si>
  <si>
    <t>EVALUATION METHOD OF AI-GENERATED ARCHITECTURAL FACADE IMAGES BASED ON DCNN
By Li Zhang et al.</t>
  </si>
  <si>
    <t>DESIGN QUALITY HOUSING ASSESSMENT METHODOLOGY: SUPPORTING HEURISTICS WITH EVIDENCE-BASED DECISION-MAKING
By Darcy Zelenko et al.</t>
  </si>
  <si>
    <t>INTELLIGENT SPATIAL PLANNING: A MULTIDIMENSIONAL STUDY ON SWISS RESIDENTIAL DESIGN USING LARGE LANGUAGE MODEL (GPT-4)
By Dongming Xu et al.</t>
  </si>
  <si>
    <t>Speaker-driven Selected Paper Session 3:
MORPHOLOGY ACROSS SCALES</t>
  </si>
  <si>
    <t>Selected Paper Session 3:
URBAN PERCEPTIONS &amp; PATTERNS II</t>
  </si>
  <si>
    <t>16:45 - 17:30</t>
  </si>
  <si>
    <t>Selected Paper Session 4:
AUGMENTING &amp; ADVANCING DESIGN</t>
  </si>
  <si>
    <t>17:30 - 19:00</t>
  </si>
  <si>
    <t xml:space="preserve">Friday </t>
  </si>
  <si>
    <t>Speaker-driven Selected Paper Session 4:
PROMPTING ARCHITECTURE</t>
  </si>
  <si>
    <t>A. EVALUATING &amp; EXPANDING AI</t>
  </si>
  <si>
    <t>B. IMMERSIVE LEARNING &amp; DESIGN</t>
  </si>
  <si>
    <t>C. BUILDING ARCHITECTURAL INTELLIENCE</t>
  </si>
  <si>
    <t>CAN AI-BASED SUGGESTIONS SUPPORT DESIGNING IN IMMERSIVE ENVIRONMENTS?
By Tai Shobuya et al.</t>
  </si>
  <si>
    <t>A FRAMEWORK FOR VIRTUAL WINDOWS TO ENHANCE INDOOR SPATIAL EXPERIENCE IN EXTENDED REALITY
By Hyeokjin Choi et al.</t>
  </si>
  <si>
    <t>RESONANT BLECH: EMERGENT SOUNDSCAPES THROUGH HUMAN-AI INTERACTION
By Alexander Urban et al.</t>
  </si>
  <si>
    <t>Speaker-driven Selected Paper Session 5:
ARCHITECTURAL COMPUTING &amp; REASONING</t>
  </si>
  <si>
    <t>COLLABORATIVE PATHWAYS TO SUSTAINABLE DIGITAL INNOVATION IN AEC
By M. Hank Haeusler, Ivana Kuzmanovska, Christopher Bamborough, Mark Burry, Jane Burry, Michael Ostwald, Blair Kuys, Sisi Zlatanova, George Shinkle</t>
  </si>
  <si>
    <t>RETHINKING PARTICIPATORY ARCHITECTURAL DESIGN: HARNESSING IMMERSIVE ENVIRONMENTS &amp; AI FOR FACILITATING DESIGNER-STAKEHOLDER COLLABORATION
By Weiheng Hu,Yuval Kahlon, Momoko Nakatani, Haruyuki Fujii</t>
  </si>
  <si>
    <t>AUGMENTATION IN DESIGN AND FABRICATION: EXPANDING THE ROLE OF AR AND HUMAN-MACHINE COLLABORATION
By Igor Pantic, Soomeen Hahm, Peter Búš, Zhiyong Dong</t>
  </si>
  <si>
    <t>TOWARD AIXR: DESIGNING A FRAMEWORK FOR AI-INFORMED HUMAN-ROBOT COLLABORATIVE ASSEMBLY OF NONUNIFORM MATERIAL IN EXTENDED REALITY
By Matias del Campo, Joseph Kenny, Eleni Vasiliki Alexi, Sandra Manninger, Dr. Daniela Mitterberger</t>
  </si>
  <si>
    <t>BUILDINGS AS SYMBIOTIC SYSTEMS: CYBERNETIC ADAPTATION BETWEEN TECHNICAL AND BIOLOGICAL SYSTEMS IN ARCHITECTURE
By Davide Schaumann, Andrew Vande Moere, Yuval Kahlon, Farahbod Heidari, Alex Binh Vinh Duc Nguyen, Yiming Liu, Umaru Mohammed Bongwirnso, Sihao Chen, Thomas Fischer, Christiane M. Herr</t>
  </si>
  <si>
    <t>TBD</t>
  </si>
  <si>
    <t>CI Team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</si>
</sst>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Springer Paper&quot;\ General"/>
    <numFmt numFmtId="165" formatCode="&quot;Comp. Paper&quot;\ 0"/>
    <numFmt numFmtId="166" formatCode="&quot;CI Team&quot;\ 0"/>
    <numFmt numFmtId="167" formatCode="&quot;[&quot;\ 0\ &quot;]&quot;"/>
  </numFmts>
  <fonts count="32">
    <font>
      <sz val="11"/>
      <color theme="1"/>
      <name val="Calibri"/>
      <family val="2"/>
      <scheme val="minor"/>
    </font>
    <font>
      <b/>
      <sz val="11"/>
      <color theme="1"/>
      <name val="Calibri"/>
      <family val="2"/>
      <scheme val="minor"/>
    </font>
    <font>
      <sz val="11"/>
      <color theme="0"/>
      <name val="Calibri"/>
      <family val="2"/>
      <scheme val="minor"/>
    </font>
    <font>
      <b/>
      <sz val="9"/>
      <color theme="0"/>
      <name val="Calibri"/>
      <family val="2"/>
      <scheme val="minor"/>
    </font>
    <font>
      <sz val="9"/>
      <color theme="1"/>
      <name val="Calibri"/>
      <family val="2"/>
      <scheme val="minor"/>
    </font>
    <font>
      <b/>
      <i/>
      <sz val="9"/>
      <color theme="0"/>
      <name val="Calibri"/>
      <family val="2"/>
      <scheme val="minor"/>
    </font>
    <font>
      <b/>
      <sz val="9"/>
      <color theme="1"/>
      <name val="Calibri"/>
      <family val="2"/>
      <scheme val="minor"/>
    </font>
    <font>
      <i/>
      <sz val="9"/>
      <color theme="1"/>
      <name val="Calibri"/>
      <family val="2"/>
      <scheme val="minor"/>
    </font>
    <font>
      <b/>
      <sz val="9"/>
      <color theme="5" tint="-0.249977111117893"/>
      <name val="Calibri"/>
      <family val="2"/>
      <scheme val="minor"/>
    </font>
    <font>
      <b/>
      <sz val="8"/>
      <color theme="0"/>
      <name val="Calibri"/>
      <family val="2"/>
      <scheme val="minor"/>
    </font>
    <font>
      <sz val="8"/>
      <color theme="1"/>
      <name val="Calibri"/>
      <family val="2"/>
      <scheme val="minor"/>
    </font>
    <font>
      <b/>
      <sz val="8"/>
      <color theme="1"/>
      <name val="Calibri"/>
      <family val="2"/>
      <scheme val="minor"/>
    </font>
    <font>
      <i/>
      <sz val="8"/>
      <color theme="1"/>
      <name val="Calibri"/>
      <family val="2"/>
      <scheme val="minor"/>
    </font>
    <font>
      <b/>
      <sz val="14"/>
      <color theme="0"/>
      <name val="Calibri"/>
      <family val="2"/>
      <scheme val="minor"/>
    </font>
    <font>
      <sz val="8"/>
      <color theme="0"/>
      <name val="Calibri"/>
      <family val="2"/>
      <scheme val="minor"/>
    </font>
    <font>
      <sz val="9"/>
      <color rgb="FFFF0000"/>
      <name val="Calibri"/>
      <family val="2"/>
      <scheme val="minor"/>
    </font>
    <font>
      <sz val="9"/>
      <color theme="1" tint="0.499984740745262"/>
      <name val="Calibri"/>
      <family val="2"/>
      <scheme val="minor"/>
    </font>
    <font>
      <sz val="9"/>
      <color rgb="FF00B050"/>
      <name val="Calibri"/>
      <family val="2"/>
      <scheme val="minor"/>
    </font>
    <font>
      <sz val="8"/>
      <color rgb="FF000000"/>
      <name val="Calibri"/>
      <family val="2"/>
      <scheme val="minor"/>
    </font>
    <font>
      <b/>
      <sz val="14"/>
      <color rgb="FFFF0000"/>
      <name val="Calibri"/>
      <family val="2"/>
      <scheme val="minor"/>
    </font>
    <font>
      <b/>
      <sz val="16"/>
      <color rgb="FFFF0000"/>
      <name val="Calibri"/>
      <family val="2"/>
      <scheme val="minor"/>
    </font>
    <font>
      <b/>
      <sz val="16"/>
      <color theme="5"/>
      <name val="Calibri"/>
      <family val="2"/>
      <scheme val="minor"/>
    </font>
    <font>
      <b/>
      <sz val="16"/>
      <color rgb="FFED7D31"/>
      <name val="Calibri"/>
      <family val="2"/>
      <scheme val="minor"/>
    </font>
    <font>
      <b/>
      <sz val="12"/>
      <color theme="5"/>
      <name val="Calibri"/>
      <family val="2"/>
      <scheme val="minor"/>
    </font>
    <font>
      <b/>
      <sz val="18"/>
      <color rgb="FFFF0000"/>
      <name val="Calibri"/>
      <family val="2"/>
      <scheme val="minor"/>
    </font>
    <font>
      <b/>
      <sz val="16"/>
      <color rgb="FFFF0000"/>
      <name val="Calibri (Body)"/>
    </font>
    <font>
      <b/>
      <sz val="8"/>
      <color theme="5"/>
      <name val="Calibri (Body)"/>
    </font>
    <font>
      <b/>
      <sz val="8"/>
      <color rgb="FFC00000"/>
      <name val="Calibri"/>
      <family val="2"/>
      <scheme val="minor"/>
    </font>
    <font>
      <b/>
      <sz val="8"/>
      <color theme="5"/>
      <name val="Calibri"/>
      <family val="2"/>
      <scheme val="minor"/>
    </font>
    <font>
      <b/>
      <sz val="8"/>
      <color rgb="FF000000"/>
      <name val="Calibri"/>
      <family val="2"/>
      <scheme val="minor"/>
    </font>
    <font>
      <sz val="8"/>
      <color theme="1" tint="0.499984740745262"/>
      <name val="Calibri"/>
      <family val="2"/>
      <scheme val="minor"/>
    </font>
    <font>
      <sz val="11"/>
      <color theme="1" tint="0.499984740745262"/>
      <name val="Calibri"/>
      <family val="2"/>
      <scheme val="minor"/>
    </font>
  </fonts>
  <fills count="15">
    <fill>
      <patternFill patternType="none"/>
    </fill>
    <fill>
      <patternFill patternType="gray125"/>
    </fill>
    <fill>
      <patternFill patternType="solid">
        <fgColor rgb="FFFF0000"/>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6969"/>
        <bgColor indexed="64"/>
      </patternFill>
    </fill>
    <fill>
      <patternFill patternType="solid">
        <fgColor theme="0" tint="-0.14999847407452621"/>
        <bgColor indexed="64"/>
      </patternFill>
    </fill>
    <fill>
      <patternFill patternType="solid">
        <fgColor rgb="FFFFC9C9"/>
        <bgColor indexed="64"/>
      </patternFill>
    </fill>
    <fill>
      <patternFill patternType="solid">
        <fgColor rgb="FFFF9999"/>
        <bgColor indexed="64"/>
      </patternFill>
    </fill>
    <fill>
      <patternFill patternType="solid">
        <fgColor rgb="FFFFE5E5"/>
        <bgColor indexed="64"/>
      </patternFill>
    </fill>
    <fill>
      <patternFill patternType="solid">
        <fgColor rgb="FFFFE5E6"/>
        <bgColor indexed="64"/>
      </patternFill>
    </fill>
    <fill>
      <patternFill patternType="solid">
        <fgColor rgb="FFFFC9C9"/>
        <bgColor rgb="FF000000"/>
      </patternFill>
    </fill>
    <fill>
      <patternFill patternType="solid">
        <fgColor rgb="FF92D050"/>
        <bgColor indexed="64"/>
      </patternFill>
    </fill>
  </fills>
  <borders count="3">
    <border>
      <left/>
      <right/>
      <top/>
      <bottom/>
      <diagonal/>
    </border>
    <border>
      <left/>
      <right/>
      <top/>
      <bottom style="medium">
        <color indexed="64"/>
      </bottom>
      <diagonal/>
    </border>
    <border>
      <left/>
      <right/>
      <top/>
      <bottom style="thin">
        <color indexed="64"/>
      </bottom>
      <diagonal/>
    </border>
  </borders>
  <cellStyleXfs count="1">
    <xf numFmtId="0" fontId="0" fillId="0" borderId="0"/>
  </cellStyleXfs>
  <cellXfs count="236">
    <xf numFmtId="0" fontId="0" fillId="0" borderId="0" xfId="0"/>
    <xf numFmtId="0" fontId="3" fillId="2" borderId="0" xfId="0" applyFont="1" applyFill="1" applyAlignment="1">
      <alignment vertical="top"/>
    </xf>
    <xf numFmtId="0" fontId="3" fillId="2" borderId="0" xfId="0" applyFont="1" applyFill="1" applyAlignment="1">
      <alignment horizontal="center" vertical="top" wrapText="1"/>
    </xf>
    <xf numFmtId="0" fontId="4" fillId="0" borderId="0" xfId="0" applyFont="1" applyAlignment="1">
      <alignment vertical="top"/>
    </xf>
    <xf numFmtId="0" fontId="4" fillId="0" borderId="0" xfId="0" applyFont="1" applyAlignment="1">
      <alignment horizontal="center" vertical="top" wrapText="1"/>
    </xf>
    <xf numFmtId="20" fontId="4" fillId="0" borderId="0" xfId="0" applyNumberFormat="1" applyFont="1" applyAlignment="1">
      <alignment horizontal="center" vertical="top" wrapText="1"/>
    </xf>
    <xf numFmtId="20" fontId="4" fillId="0" borderId="1" xfId="0" applyNumberFormat="1" applyFont="1" applyBorder="1" applyAlignment="1">
      <alignment horizontal="center" vertical="top" wrapText="1"/>
    </xf>
    <xf numFmtId="0" fontId="3" fillId="2" borderId="0" xfId="0" applyFont="1" applyFill="1" applyAlignment="1">
      <alignment horizontal="center" vertical="top"/>
    </xf>
    <xf numFmtId="0" fontId="3" fillId="3" borderId="0" xfId="0" applyFont="1" applyFill="1" applyAlignment="1">
      <alignment horizontal="center" vertical="top" wrapText="1"/>
    </xf>
    <xf numFmtId="1" fontId="5" fillId="3" borderId="0" xfId="0" applyNumberFormat="1" applyFont="1" applyFill="1" applyAlignment="1">
      <alignment horizontal="center" vertical="top" wrapText="1"/>
    </xf>
    <xf numFmtId="0" fontId="5" fillId="3" borderId="0" xfId="0" applyFont="1" applyFill="1" applyAlignment="1">
      <alignment horizontal="left" vertical="top" wrapText="1"/>
    </xf>
    <xf numFmtId="14" fontId="3" fillId="3" borderId="0" xfId="0" applyNumberFormat="1" applyFont="1" applyFill="1" applyAlignment="1">
      <alignment horizontal="center" vertical="top" wrapText="1"/>
    </xf>
    <xf numFmtId="14" fontId="5" fillId="3" borderId="0" xfId="0" applyNumberFormat="1" applyFont="1" applyFill="1" applyAlignment="1">
      <alignment horizontal="center" vertical="top" wrapText="1"/>
    </xf>
    <xf numFmtId="0" fontId="4" fillId="4" borderId="0" xfId="0" applyFont="1" applyFill="1" applyAlignment="1">
      <alignment vertical="top"/>
    </xf>
    <xf numFmtId="0" fontId="6" fillId="4" borderId="0" xfId="0" applyFont="1" applyFill="1" applyAlignment="1">
      <alignment vertical="top"/>
    </xf>
    <xf numFmtId="0" fontId="6" fillId="4" borderId="0" xfId="0" applyFont="1" applyFill="1" applyAlignment="1">
      <alignment horizontal="center" vertical="top"/>
    </xf>
    <xf numFmtId="1" fontId="4" fillId="4" borderId="0" xfId="0" applyNumberFormat="1" applyFont="1" applyFill="1" applyAlignment="1">
      <alignment horizontal="center" vertical="top"/>
    </xf>
    <xf numFmtId="0" fontId="4" fillId="4" borderId="0" xfId="0" applyFont="1" applyFill="1" applyAlignment="1">
      <alignment vertical="top" wrapText="1"/>
    </xf>
    <xf numFmtId="1" fontId="7" fillId="4" borderId="0" xfId="0" applyNumberFormat="1" applyFont="1" applyFill="1" applyAlignment="1">
      <alignment horizontal="center" vertical="top"/>
    </xf>
    <xf numFmtId="0" fontId="7" fillId="4" borderId="0" xfId="0" applyFont="1" applyFill="1" applyAlignment="1">
      <alignment horizontal="left" vertical="top" wrapText="1"/>
    </xf>
    <xf numFmtId="0" fontId="4" fillId="5" borderId="0" xfId="0" applyFont="1" applyFill="1" applyAlignment="1">
      <alignment vertical="top"/>
    </xf>
    <xf numFmtId="0" fontId="6" fillId="5" borderId="0" xfId="0" applyFont="1" applyFill="1" applyAlignment="1">
      <alignment vertical="top"/>
    </xf>
    <xf numFmtId="1" fontId="4" fillId="5" borderId="0" xfId="0" applyNumberFormat="1" applyFont="1" applyFill="1" applyAlignment="1">
      <alignment horizontal="center" vertical="top"/>
    </xf>
    <xf numFmtId="0" fontId="4" fillId="5" borderId="0" xfId="0" applyFont="1" applyFill="1" applyAlignment="1">
      <alignment vertical="top" wrapText="1"/>
    </xf>
    <xf numFmtId="1" fontId="7" fillId="5" borderId="0" xfId="0" applyNumberFormat="1" applyFont="1" applyFill="1" applyAlignment="1">
      <alignment horizontal="center" vertical="top"/>
    </xf>
    <xf numFmtId="0" fontId="7" fillId="5" borderId="0" xfId="0" applyFont="1" applyFill="1" applyAlignment="1">
      <alignment horizontal="left" vertical="top" wrapText="1"/>
    </xf>
    <xf numFmtId="0" fontId="4" fillId="6" borderId="0" xfId="0" applyFont="1" applyFill="1" applyAlignment="1">
      <alignment vertical="top"/>
    </xf>
    <xf numFmtId="1" fontId="4" fillId="6" borderId="0" xfId="0" applyNumberFormat="1" applyFont="1" applyFill="1" applyAlignment="1">
      <alignment horizontal="center" vertical="top"/>
    </xf>
    <xf numFmtId="0" fontId="4" fillId="6" borderId="0" xfId="0" applyFont="1" applyFill="1" applyAlignment="1">
      <alignment vertical="top" wrapText="1"/>
    </xf>
    <xf numFmtId="1" fontId="7" fillId="6" borderId="0" xfId="0" applyNumberFormat="1" applyFont="1" applyFill="1" applyAlignment="1">
      <alignment horizontal="center" vertical="top"/>
    </xf>
    <xf numFmtId="0" fontId="7" fillId="6" borderId="0" xfId="0" applyFont="1" applyFill="1" applyAlignment="1">
      <alignment horizontal="left" vertical="top" wrapText="1"/>
    </xf>
    <xf numFmtId="0" fontId="8" fillId="5" borderId="0" xfId="0" applyFont="1" applyFill="1" applyAlignment="1">
      <alignment vertical="top"/>
    </xf>
    <xf numFmtId="0" fontId="4" fillId="7" borderId="0" xfId="0" applyFont="1" applyFill="1" applyAlignment="1">
      <alignment vertical="top"/>
    </xf>
    <xf numFmtId="0" fontId="6" fillId="7" borderId="0" xfId="0" applyFont="1" applyFill="1" applyAlignment="1">
      <alignment vertical="top"/>
    </xf>
    <xf numFmtId="1" fontId="4" fillId="7" borderId="0" xfId="0" applyNumberFormat="1" applyFont="1" applyFill="1" applyAlignment="1">
      <alignment horizontal="center" vertical="top"/>
    </xf>
    <xf numFmtId="0" fontId="4" fillId="7" borderId="0" xfId="0" applyFont="1" applyFill="1" applyAlignment="1">
      <alignment vertical="top" wrapText="1"/>
    </xf>
    <xf numFmtId="1" fontId="7" fillId="7" borderId="0" xfId="0" applyNumberFormat="1" applyFont="1" applyFill="1" applyAlignment="1">
      <alignment horizontal="center" vertical="top"/>
    </xf>
    <xf numFmtId="0" fontId="7" fillId="7" borderId="0" xfId="0" applyFont="1" applyFill="1" applyAlignment="1">
      <alignment horizontal="left" vertical="top" wrapText="1"/>
    </xf>
    <xf numFmtId="0" fontId="4" fillId="8" borderId="0" xfId="0" applyFont="1" applyFill="1" applyAlignment="1">
      <alignment vertical="top"/>
    </xf>
    <xf numFmtId="0" fontId="6" fillId="8" borderId="0" xfId="0" applyFont="1" applyFill="1" applyAlignment="1">
      <alignment vertical="top"/>
    </xf>
    <xf numFmtId="1" fontId="4" fillId="8" borderId="0" xfId="0" applyNumberFormat="1" applyFont="1" applyFill="1" applyAlignment="1">
      <alignment horizontal="center" vertical="top"/>
    </xf>
    <xf numFmtId="0" fontId="4" fillId="8" borderId="0" xfId="0" applyFont="1" applyFill="1" applyAlignment="1">
      <alignment vertical="top" wrapText="1"/>
    </xf>
    <xf numFmtId="1" fontId="7" fillId="8" borderId="0" xfId="0" applyNumberFormat="1" applyFont="1" applyFill="1" applyAlignment="1">
      <alignment horizontal="center" vertical="top"/>
    </xf>
    <xf numFmtId="0" fontId="7" fillId="8" borderId="0" xfId="0" applyFont="1" applyFill="1" applyAlignment="1">
      <alignment horizontal="left" vertical="top" wrapText="1"/>
    </xf>
    <xf numFmtId="0" fontId="4" fillId="9" borderId="0" xfId="0" applyFont="1" applyFill="1" applyAlignment="1">
      <alignment vertical="top"/>
    </xf>
    <xf numFmtId="0" fontId="6" fillId="9" borderId="0" xfId="0" applyFont="1" applyFill="1" applyAlignment="1">
      <alignment vertical="top" wrapText="1"/>
    </xf>
    <xf numFmtId="1" fontId="4" fillId="9" borderId="0" xfId="0" applyNumberFormat="1" applyFont="1" applyFill="1" applyAlignment="1">
      <alignment horizontal="center" vertical="top"/>
    </xf>
    <xf numFmtId="0" fontId="4" fillId="9" borderId="0" xfId="0" applyFont="1" applyFill="1" applyAlignment="1">
      <alignment vertical="top" wrapText="1"/>
    </xf>
    <xf numFmtId="1" fontId="7" fillId="9" borderId="0" xfId="0" applyNumberFormat="1" applyFont="1" applyFill="1" applyAlignment="1">
      <alignment horizontal="center" vertical="top"/>
    </xf>
    <xf numFmtId="0" fontId="7" fillId="9" borderId="0" xfId="0" applyFont="1" applyFill="1" applyAlignment="1">
      <alignment horizontal="left" vertical="top" wrapText="1"/>
    </xf>
    <xf numFmtId="0" fontId="6" fillId="9" borderId="0" xfId="0" applyFont="1" applyFill="1" applyAlignment="1">
      <alignment vertical="top"/>
    </xf>
    <xf numFmtId="20" fontId="4" fillId="9" borderId="0" xfId="0" applyNumberFormat="1" applyFont="1" applyFill="1" applyAlignment="1">
      <alignment vertical="top"/>
    </xf>
    <xf numFmtId="164" fontId="4" fillId="9" borderId="0" xfId="0" applyNumberFormat="1" applyFont="1" applyFill="1" applyAlignment="1">
      <alignment horizontal="left" vertical="top" wrapText="1"/>
    </xf>
    <xf numFmtId="164" fontId="7" fillId="9" borderId="0" xfId="0" applyNumberFormat="1" applyFont="1" applyFill="1" applyAlignment="1">
      <alignment horizontal="left" vertical="top" wrapText="1"/>
    </xf>
    <xf numFmtId="0" fontId="4" fillId="10" borderId="0" xfId="0" applyFont="1" applyFill="1" applyAlignment="1">
      <alignment vertical="top"/>
    </xf>
    <xf numFmtId="0" fontId="6" fillId="10" borderId="0" xfId="0" applyFont="1" applyFill="1" applyAlignment="1">
      <alignment vertical="top"/>
    </xf>
    <xf numFmtId="1" fontId="4" fillId="10" borderId="0" xfId="0" applyNumberFormat="1" applyFont="1" applyFill="1" applyAlignment="1">
      <alignment horizontal="center" vertical="top"/>
    </xf>
    <xf numFmtId="0" fontId="4" fillId="10" borderId="0" xfId="0" applyFont="1" applyFill="1" applyAlignment="1">
      <alignment vertical="top" wrapText="1"/>
    </xf>
    <xf numFmtId="1" fontId="7" fillId="10" borderId="0" xfId="0" applyNumberFormat="1" applyFont="1" applyFill="1" applyAlignment="1">
      <alignment horizontal="center" vertical="top"/>
    </xf>
    <xf numFmtId="165" fontId="7" fillId="10" borderId="0" xfId="0" applyNumberFormat="1" applyFont="1" applyFill="1" applyAlignment="1">
      <alignment horizontal="left" vertical="top" wrapText="1"/>
    </xf>
    <xf numFmtId="0" fontId="7" fillId="10" borderId="0" xfId="0" applyFont="1" applyFill="1" applyAlignment="1">
      <alignment horizontal="left" vertical="top" wrapText="1"/>
    </xf>
    <xf numFmtId="0" fontId="4" fillId="11" borderId="0" xfId="0" applyFont="1" applyFill="1" applyAlignment="1">
      <alignment vertical="top"/>
    </xf>
    <xf numFmtId="0" fontId="6" fillId="11" borderId="0" xfId="0" applyFont="1" applyFill="1" applyAlignment="1">
      <alignment vertical="top" wrapText="1"/>
    </xf>
    <xf numFmtId="20" fontId="4" fillId="11" borderId="0" xfId="0" applyNumberFormat="1" applyFont="1" applyFill="1" applyAlignment="1">
      <alignment vertical="top"/>
    </xf>
    <xf numFmtId="1" fontId="4" fillId="11" borderId="0" xfId="0" applyNumberFormat="1" applyFont="1" applyFill="1" applyAlignment="1">
      <alignment horizontal="center" vertical="top"/>
    </xf>
    <xf numFmtId="164" fontId="4" fillId="11" borderId="0" xfId="0" applyNumberFormat="1" applyFont="1" applyFill="1" applyAlignment="1">
      <alignment horizontal="left" vertical="top" wrapText="1"/>
    </xf>
    <xf numFmtId="1" fontId="7" fillId="11" borderId="0" xfId="0" applyNumberFormat="1" applyFont="1" applyFill="1" applyAlignment="1">
      <alignment horizontal="center" vertical="top"/>
    </xf>
    <xf numFmtId="0" fontId="7" fillId="11" borderId="0" xfId="0" applyFont="1" applyFill="1" applyAlignment="1">
      <alignment horizontal="left" vertical="top" wrapText="1"/>
    </xf>
    <xf numFmtId="0" fontId="6" fillId="11" borderId="0" xfId="0" applyFont="1" applyFill="1" applyAlignment="1">
      <alignment vertical="top"/>
    </xf>
    <xf numFmtId="0" fontId="4" fillId="11" borderId="0" xfId="0" applyFont="1" applyFill="1" applyAlignment="1">
      <alignment vertical="top" wrapText="1"/>
    </xf>
    <xf numFmtId="0" fontId="4" fillId="4" borderId="0" xfId="0" applyFont="1" applyFill="1" applyAlignment="1">
      <alignment horizontal="left" vertical="top" wrapText="1"/>
    </xf>
    <xf numFmtId="0" fontId="4" fillId="7" borderId="0" xfId="0" applyFont="1" applyFill="1" applyAlignment="1">
      <alignment horizontal="left" vertical="top" wrapText="1"/>
    </xf>
    <xf numFmtId="0" fontId="4" fillId="8" borderId="0" xfId="0" applyFont="1" applyFill="1" applyAlignment="1">
      <alignment horizontal="left" vertical="top" wrapText="1"/>
    </xf>
    <xf numFmtId="0" fontId="4" fillId="9" borderId="0" xfId="0" applyFont="1" applyFill="1" applyAlignment="1">
      <alignment horizontal="left" vertical="top" wrapText="1"/>
    </xf>
    <xf numFmtId="0" fontId="4" fillId="10" borderId="0" xfId="0" applyFont="1" applyFill="1" applyAlignment="1">
      <alignment horizontal="left" vertical="top" wrapText="1"/>
    </xf>
    <xf numFmtId="0" fontId="4" fillId="5" borderId="0" xfId="0" applyFont="1" applyFill="1" applyAlignment="1">
      <alignment horizontal="left" vertical="top" wrapText="1"/>
    </xf>
    <xf numFmtId="166" fontId="4" fillId="8" borderId="0" xfId="0" applyNumberFormat="1" applyFont="1" applyFill="1" applyAlignment="1">
      <alignment horizontal="left" vertical="top" wrapText="1"/>
    </xf>
    <xf numFmtId="0" fontId="4" fillId="6" borderId="0" xfId="0" applyFont="1" applyFill="1" applyAlignment="1">
      <alignment horizontal="left" vertical="top" wrapText="1"/>
    </xf>
    <xf numFmtId="0" fontId="1" fillId="7" borderId="0" xfId="0" applyFont="1" applyFill="1" applyAlignment="1">
      <alignment vertical="top"/>
    </xf>
    <xf numFmtId="0" fontId="0" fillId="7" borderId="0" xfId="0" applyFill="1" applyAlignment="1">
      <alignment vertical="top"/>
    </xf>
    <xf numFmtId="1" fontId="0" fillId="7" borderId="0" xfId="0" applyNumberFormat="1" applyFill="1" applyAlignment="1">
      <alignment horizontal="center" vertical="top"/>
    </xf>
    <xf numFmtId="0" fontId="0" fillId="7" borderId="0" xfId="0" applyFill="1" applyAlignment="1">
      <alignment horizontal="left" vertical="top" wrapText="1"/>
    </xf>
    <xf numFmtId="0" fontId="0" fillId="5" borderId="0" xfId="0" applyFill="1" applyAlignment="1">
      <alignment vertical="top"/>
    </xf>
    <xf numFmtId="0" fontId="1" fillId="5" borderId="0" xfId="0" applyFont="1" applyFill="1" applyAlignment="1">
      <alignment vertical="top"/>
    </xf>
    <xf numFmtId="1" fontId="0" fillId="5" borderId="0" xfId="0" applyNumberFormat="1" applyFill="1" applyAlignment="1">
      <alignment horizontal="center" vertical="top"/>
    </xf>
    <xf numFmtId="0" fontId="0" fillId="5" borderId="0" xfId="0" applyFill="1" applyAlignment="1">
      <alignment horizontal="left" vertical="top" wrapText="1"/>
    </xf>
    <xf numFmtId="1" fontId="1" fillId="5" borderId="0" xfId="0" applyNumberFormat="1" applyFont="1" applyFill="1" applyAlignment="1">
      <alignment horizontal="center" vertical="top"/>
    </xf>
    <xf numFmtId="0" fontId="1" fillId="5" borderId="0" xfId="0" applyFont="1" applyFill="1" applyAlignment="1">
      <alignment horizontal="left" vertical="top" wrapText="1"/>
    </xf>
    <xf numFmtId="0" fontId="1" fillId="5" borderId="0" xfId="0" applyFont="1" applyFill="1" applyAlignment="1">
      <alignment vertical="top" wrapText="1"/>
    </xf>
    <xf numFmtId="0" fontId="6" fillId="0" borderId="0" xfId="0" applyFont="1" applyAlignment="1">
      <alignment horizontal="center" vertical="top"/>
    </xf>
    <xf numFmtId="1" fontId="4" fillId="0" borderId="0" xfId="0" applyNumberFormat="1" applyFont="1" applyAlignment="1">
      <alignment horizontal="center" vertical="top"/>
    </xf>
    <xf numFmtId="0" fontId="4" fillId="0" borderId="0" xfId="0" applyFont="1" applyAlignment="1">
      <alignment vertical="top" wrapText="1"/>
    </xf>
    <xf numFmtId="1" fontId="7" fillId="0" borderId="0" xfId="0" applyNumberFormat="1" applyFont="1" applyAlignment="1">
      <alignment horizontal="center" vertical="top"/>
    </xf>
    <xf numFmtId="0" fontId="7" fillId="0" borderId="0" xfId="0" applyFont="1" applyAlignment="1">
      <alignment horizontal="left" vertical="top" wrapText="1"/>
    </xf>
    <xf numFmtId="1" fontId="7" fillId="10" borderId="2" xfId="0" applyNumberFormat="1" applyFont="1" applyFill="1" applyBorder="1" applyAlignment="1">
      <alignment horizontal="center" vertical="top"/>
    </xf>
    <xf numFmtId="0" fontId="6" fillId="10" borderId="2" xfId="0" applyFont="1" applyFill="1" applyBorder="1" applyAlignment="1">
      <alignment vertical="top"/>
    </xf>
    <xf numFmtId="0" fontId="9" fillId="3" borderId="0" xfId="0" applyFont="1" applyFill="1" applyAlignment="1">
      <alignment horizontal="center" vertical="top" wrapText="1"/>
    </xf>
    <xf numFmtId="0" fontId="10" fillId="0" borderId="0" xfId="0" applyFont="1" applyAlignment="1">
      <alignment vertical="top"/>
    </xf>
    <xf numFmtId="0" fontId="10" fillId="8" borderId="0" xfId="0" applyFont="1" applyFill="1" applyAlignment="1">
      <alignment vertical="top"/>
    </xf>
    <xf numFmtId="0" fontId="10" fillId="9" borderId="0" xfId="0" applyFont="1" applyFill="1" applyAlignment="1">
      <alignment vertical="top"/>
    </xf>
    <xf numFmtId="0" fontId="10" fillId="9" borderId="0" xfId="0" applyFont="1" applyFill="1" applyAlignment="1">
      <alignment vertical="top" wrapText="1"/>
    </xf>
    <xf numFmtId="20" fontId="10" fillId="9" borderId="0" xfId="0" applyNumberFormat="1" applyFont="1" applyFill="1" applyAlignment="1">
      <alignment vertical="top"/>
    </xf>
    <xf numFmtId="164" fontId="10" fillId="9" borderId="0" xfId="0" applyNumberFormat="1" applyFont="1" applyFill="1" applyAlignment="1">
      <alignment horizontal="left" vertical="top" wrapText="1"/>
    </xf>
    <xf numFmtId="0" fontId="10" fillId="10" borderId="0" xfId="0" applyFont="1" applyFill="1" applyAlignment="1">
      <alignment vertical="top"/>
    </xf>
    <xf numFmtId="165" fontId="12" fillId="10" borderId="0" xfId="0" applyNumberFormat="1" applyFont="1" applyFill="1" applyAlignment="1">
      <alignment horizontal="left" vertical="top" wrapText="1"/>
    </xf>
    <xf numFmtId="20" fontId="10" fillId="11" borderId="0" xfId="0" applyNumberFormat="1" applyFont="1" applyFill="1" applyAlignment="1">
      <alignment vertical="top"/>
    </xf>
    <xf numFmtId="164" fontId="10" fillId="11" borderId="0" xfId="0" applyNumberFormat="1" applyFont="1" applyFill="1" applyAlignment="1">
      <alignment horizontal="left" vertical="top" wrapText="1"/>
    </xf>
    <xf numFmtId="0" fontId="10" fillId="11" borderId="0" xfId="0" applyFont="1" applyFill="1" applyAlignment="1">
      <alignment vertical="top" wrapText="1"/>
    </xf>
    <xf numFmtId="0" fontId="10" fillId="8" borderId="0" xfId="0" applyFont="1" applyFill="1" applyAlignment="1">
      <alignment horizontal="left" vertical="top" wrapText="1"/>
    </xf>
    <xf numFmtId="0" fontId="10" fillId="9" borderId="0" xfId="0" applyFont="1" applyFill="1" applyAlignment="1">
      <alignment horizontal="left" vertical="top" wrapText="1"/>
    </xf>
    <xf numFmtId="166" fontId="10" fillId="8" borderId="0" xfId="0" applyNumberFormat="1" applyFont="1" applyFill="1" applyAlignment="1">
      <alignment horizontal="left" vertical="top" wrapText="1"/>
    </xf>
    <xf numFmtId="0" fontId="3" fillId="2" borderId="0" xfId="0" applyFont="1" applyFill="1" applyAlignment="1">
      <alignment horizontal="left" vertical="top"/>
    </xf>
    <xf numFmtId="0" fontId="3" fillId="3" borderId="0" xfId="0" applyFont="1" applyFill="1" applyAlignment="1">
      <alignment horizontal="left" vertical="top" wrapText="1"/>
    </xf>
    <xf numFmtId="14" fontId="3" fillId="3" borderId="0" xfId="0" applyNumberFormat="1" applyFont="1" applyFill="1" applyAlignment="1">
      <alignment horizontal="left" vertical="top" wrapText="1"/>
    </xf>
    <xf numFmtId="0" fontId="4" fillId="4" borderId="0" xfId="0" applyFont="1" applyFill="1" applyAlignment="1">
      <alignment horizontal="left" vertical="top"/>
    </xf>
    <xf numFmtId="0" fontId="4" fillId="5" borderId="0" xfId="0" applyFont="1" applyFill="1" applyAlignment="1">
      <alignment horizontal="left" vertical="top"/>
    </xf>
    <xf numFmtId="0" fontId="4" fillId="7" borderId="0" xfId="0" applyFont="1" applyFill="1" applyAlignment="1">
      <alignment horizontal="left" vertical="top"/>
    </xf>
    <xf numFmtId="0" fontId="4" fillId="8" borderId="0" xfId="0" applyFont="1" applyFill="1" applyAlignment="1">
      <alignment horizontal="left" vertical="top"/>
    </xf>
    <xf numFmtId="0" fontId="4" fillId="9" borderId="0" xfId="0" applyFont="1" applyFill="1" applyAlignment="1">
      <alignment horizontal="left" vertical="top"/>
    </xf>
    <xf numFmtId="0" fontId="4" fillId="10" borderId="0" xfId="0" applyFont="1" applyFill="1" applyAlignment="1">
      <alignment horizontal="left" vertical="top"/>
    </xf>
    <xf numFmtId="0" fontId="4" fillId="11" borderId="0" xfId="0" applyFont="1" applyFill="1" applyAlignment="1">
      <alignment horizontal="left" vertical="top"/>
    </xf>
    <xf numFmtId="20" fontId="4" fillId="7" borderId="0" xfId="0" applyNumberFormat="1" applyFont="1" applyFill="1" applyAlignment="1">
      <alignment horizontal="left" vertical="top"/>
    </xf>
    <xf numFmtId="0" fontId="4" fillId="0" borderId="0" xfId="0" applyFont="1" applyAlignment="1">
      <alignment horizontal="left" vertical="top"/>
    </xf>
    <xf numFmtId="0" fontId="13" fillId="3" borderId="0" xfId="0" applyFont="1" applyFill="1" applyAlignment="1">
      <alignment horizontal="left" vertical="top"/>
    </xf>
    <xf numFmtId="0" fontId="0" fillId="0" borderId="0" xfId="0" applyAlignment="1">
      <alignment vertical="top"/>
    </xf>
    <xf numFmtId="167" fontId="9" fillId="3" borderId="0" xfId="0" applyNumberFormat="1" applyFont="1" applyFill="1" applyAlignment="1">
      <alignment horizontal="center" vertical="top" wrapText="1"/>
    </xf>
    <xf numFmtId="167" fontId="11" fillId="0" borderId="0" xfId="0" applyNumberFormat="1" applyFont="1" applyAlignment="1">
      <alignment horizontal="center" vertical="top"/>
    </xf>
    <xf numFmtId="0" fontId="10" fillId="0" borderId="0" xfId="0" applyFont="1" applyAlignment="1">
      <alignment vertical="top" wrapText="1"/>
    </xf>
    <xf numFmtId="167" fontId="10" fillId="8" borderId="0" xfId="0" applyNumberFormat="1" applyFont="1" applyFill="1" applyAlignment="1">
      <alignment horizontal="center" vertical="top"/>
    </xf>
    <xf numFmtId="167" fontId="10" fillId="9" borderId="0" xfId="0" applyNumberFormat="1" applyFont="1" applyFill="1" applyAlignment="1">
      <alignment horizontal="center" vertical="top"/>
    </xf>
    <xf numFmtId="167" fontId="10" fillId="10" borderId="0" xfId="0" applyNumberFormat="1" applyFont="1" applyFill="1" applyAlignment="1">
      <alignment horizontal="center" vertical="top"/>
    </xf>
    <xf numFmtId="167" fontId="10" fillId="11" borderId="0" xfId="0" applyNumberFormat="1" applyFont="1" applyFill="1" applyAlignment="1">
      <alignment horizontal="center" vertical="top"/>
    </xf>
    <xf numFmtId="0" fontId="10" fillId="0" borderId="0" xfId="0" applyFont="1" applyAlignment="1">
      <alignment horizontal="left" vertical="top" wrapText="1"/>
    </xf>
    <xf numFmtId="167" fontId="10" fillId="0" borderId="0" xfId="0" applyNumberFormat="1" applyFont="1" applyAlignment="1">
      <alignment vertical="top"/>
    </xf>
    <xf numFmtId="0" fontId="15" fillId="0" borderId="0" xfId="0" applyFont="1" applyAlignment="1">
      <alignment vertical="top"/>
    </xf>
    <xf numFmtId="0" fontId="17" fillId="0" borderId="0" xfId="0" applyFont="1" applyAlignment="1">
      <alignment vertical="top"/>
    </xf>
    <xf numFmtId="0" fontId="19" fillId="0" borderId="0" xfId="0" applyFont="1" applyAlignment="1">
      <alignment vertical="top"/>
    </xf>
    <xf numFmtId="0" fontId="20" fillId="0" borderId="0" xfId="0" applyFont="1" applyAlignment="1">
      <alignment vertical="top"/>
    </xf>
    <xf numFmtId="0" fontId="24" fillId="0" borderId="0" xfId="0" applyFont="1" applyAlignment="1">
      <alignment vertical="top"/>
    </xf>
    <xf numFmtId="0" fontId="25" fillId="0" borderId="0" xfId="0" applyFont="1" applyAlignment="1">
      <alignment vertical="top"/>
    </xf>
    <xf numFmtId="0" fontId="9" fillId="0" borderId="0" xfId="0" applyFont="1" applyAlignment="1">
      <alignment horizontal="center" vertical="top" wrapText="1"/>
    </xf>
    <xf numFmtId="164" fontId="10" fillId="0" borderId="0" xfId="0" applyNumberFormat="1" applyFont="1" applyAlignment="1">
      <alignment horizontal="left" vertical="top" wrapText="1"/>
    </xf>
    <xf numFmtId="0" fontId="11" fillId="0" borderId="0" xfId="0" applyFont="1" applyAlignment="1">
      <alignment vertical="top"/>
    </xf>
    <xf numFmtId="165" fontId="12" fillId="0" borderId="0" xfId="0" applyNumberFormat="1" applyFont="1" applyAlignment="1">
      <alignment horizontal="left" vertical="top" wrapText="1"/>
    </xf>
    <xf numFmtId="166" fontId="10" fillId="0" borderId="0" xfId="0" applyNumberFormat="1" applyFont="1" applyAlignment="1">
      <alignment horizontal="left" vertical="top" wrapText="1"/>
    </xf>
    <xf numFmtId="0" fontId="11" fillId="0" borderId="0" xfId="0" applyFont="1" applyAlignment="1">
      <alignment vertical="top" wrapText="1"/>
    </xf>
    <xf numFmtId="0" fontId="26" fillId="0" borderId="0" xfId="0" applyFont="1" applyAlignment="1">
      <alignment vertical="top"/>
    </xf>
    <xf numFmtId="165" fontId="11" fillId="0" borderId="0" xfId="0" applyNumberFormat="1" applyFont="1" applyAlignment="1">
      <alignment horizontal="left" vertical="top" wrapText="1"/>
    </xf>
    <xf numFmtId="164" fontId="27" fillId="0" borderId="0" xfId="0" applyNumberFormat="1" applyFont="1" applyAlignment="1">
      <alignment horizontal="left" vertical="top" wrapText="1"/>
    </xf>
    <xf numFmtId="0" fontId="11" fillId="6" borderId="0" xfId="0" applyFont="1" applyFill="1" applyAlignment="1">
      <alignment vertical="top"/>
    </xf>
    <xf numFmtId="165" fontId="11" fillId="14" borderId="0" xfId="0" applyNumberFormat="1" applyFont="1" applyFill="1" applyAlignment="1">
      <alignment horizontal="left" vertical="top" wrapText="1"/>
    </xf>
    <xf numFmtId="0" fontId="11" fillId="14" borderId="0" xfId="0" applyFont="1" applyFill="1" applyAlignment="1">
      <alignment vertical="top"/>
    </xf>
    <xf numFmtId="167" fontId="11" fillId="10" borderId="2" xfId="0" applyNumberFormat="1" applyFont="1" applyFill="1" applyBorder="1" applyAlignment="1">
      <alignment horizontal="center" vertical="top"/>
    </xf>
    <xf numFmtId="14" fontId="11" fillId="10" borderId="2" xfId="0" applyNumberFormat="1" applyFont="1" applyFill="1" applyBorder="1" applyAlignment="1">
      <alignment vertical="top"/>
    </xf>
    <xf numFmtId="14" fontId="16" fillId="0" borderId="0" xfId="0" applyNumberFormat="1" applyFont="1" applyAlignment="1">
      <alignment horizontal="left" vertical="top"/>
    </xf>
    <xf numFmtId="0" fontId="3" fillId="3" borderId="0" xfId="0" applyFont="1" applyFill="1" applyAlignment="1">
      <alignment horizontal="center" vertical="top"/>
    </xf>
    <xf numFmtId="0" fontId="6" fillId="0" borderId="0" xfId="0" applyFont="1" applyAlignment="1">
      <alignment vertical="top"/>
    </xf>
    <xf numFmtId="14" fontId="10" fillId="10" borderId="2" xfId="0" applyNumberFormat="1" applyFont="1" applyFill="1" applyBorder="1" applyAlignment="1">
      <alignment vertical="top"/>
    </xf>
    <xf numFmtId="0" fontId="28" fillId="6" borderId="0" xfId="0" applyFont="1" applyFill="1" applyAlignment="1">
      <alignment vertical="top"/>
    </xf>
    <xf numFmtId="0" fontId="16" fillId="5" borderId="0" xfId="0" applyFont="1" applyFill="1" applyAlignment="1">
      <alignment vertical="top"/>
    </xf>
    <xf numFmtId="14" fontId="16" fillId="5" borderId="0" xfId="0" applyNumberFormat="1" applyFont="1" applyFill="1" applyAlignment="1">
      <alignment horizontal="left" vertical="top"/>
    </xf>
    <xf numFmtId="20" fontId="16" fillId="0" borderId="0" xfId="0" applyNumberFormat="1" applyFont="1" applyAlignment="1">
      <alignment horizontal="left" vertical="top"/>
    </xf>
    <xf numFmtId="0" fontId="16" fillId="0" borderId="0" xfId="0" applyFont="1" applyAlignment="1">
      <alignment vertical="top"/>
    </xf>
    <xf numFmtId="0" fontId="16" fillId="0" borderId="0" xfId="0" applyFont="1" applyAlignment="1">
      <alignment vertical="center"/>
    </xf>
    <xf numFmtId="14" fontId="16" fillId="0" borderId="0" xfId="0" applyNumberFormat="1" applyFont="1" applyAlignment="1">
      <alignment horizontal="left" vertical="center"/>
    </xf>
    <xf numFmtId="20" fontId="16" fillId="0" borderId="0" xfId="0" applyNumberFormat="1" applyFont="1" applyAlignment="1">
      <alignment horizontal="left" vertical="center"/>
    </xf>
    <xf numFmtId="0" fontId="4" fillId="0" borderId="0" xfId="0" applyFont="1" applyAlignment="1">
      <alignment horizontal="left" vertical="center"/>
    </xf>
    <xf numFmtId="0" fontId="6" fillId="0" borderId="0" xfId="0" applyFont="1" applyAlignment="1">
      <alignment vertical="center"/>
    </xf>
    <xf numFmtId="0" fontId="10" fillId="0" borderId="0" xfId="0" applyFont="1" applyAlignment="1">
      <alignment vertical="center"/>
    </xf>
    <xf numFmtId="167" fontId="11" fillId="0" borderId="0" xfId="0" applyNumberFormat="1" applyFont="1" applyAlignment="1">
      <alignment horizontal="center" vertical="center"/>
    </xf>
    <xf numFmtId="0" fontId="15" fillId="0" borderId="0" xfId="0" applyFont="1" applyAlignment="1">
      <alignment vertical="center"/>
    </xf>
    <xf numFmtId="0" fontId="0" fillId="0" borderId="0" xfId="0" applyAlignment="1">
      <alignment vertical="center"/>
    </xf>
    <xf numFmtId="167" fontId="10" fillId="0" borderId="0" xfId="0" applyNumberFormat="1" applyFont="1" applyAlignment="1">
      <alignment horizontal="center" vertical="center"/>
    </xf>
    <xf numFmtId="0" fontId="10" fillId="0" borderId="0" xfId="0" applyFont="1" applyAlignment="1">
      <alignment vertical="center" wrapText="1"/>
    </xf>
    <xf numFmtId="0" fontId="3" fillId="2" borderId="0" xfId="0" applyFont="1" applyFill="1" applyAlignment="1">
      <alignment horizontal="left" vertical="center"/>
    </xf>
    <xf numFmtId="0" fontId="14" fillId="2" borderId="0" xfId="0" applyFont="1" applyFill="1" applyAlignment="1">
      <alignment vertical="center"/>
    </xf>
    <xf numFmtId="167" fontId="14" fillId="2" borderId="0" xfId="0" applyNumberFormat="1" applyFont="1" applyFill="1" applyAlignment="1">
      <alignment horizontal="center" vertical="center"/>
    </xf>
    <xf numFmtId="0" fontId="14" fillId="2" borderId="0" xfId="0" applyFont="1" applyFill="1" applyAlignment="1">
      <alignment vertical="center" wrapText="1"/>
    </xf>
    <xf numFmtId="0" fontId="14" fillId="0" borderId="0" xfId="0" applyFont="1" applyAlignment="1">
      <alignment vertical="center" wrapText="1"/>
    </xf>
    <xf numFmtId="0" fontId="2" fillId="0" borderId="0" xfId="0" applyFont="1" applyAlignment="1">
      <alignment vertical="center"/>
    </xf>
    <xf numFmtId="0" fontId="4" fillId="4" borderId="0" xfId="0" applyFont="1" applyFill="1" applyAlignment="1">
      <alignment horizontal="left" vertical="center"/>
    </xf>
    <xf numFmtId="0" fontId="4" fillId="4" borderId="0" xfId="0" applyFont="1" applyFill="1" applyAlignment="1">
      <alignment vertical="center"/>
    </xf>
    <xf numFmtId="0" fontId="10" fillId="4" borderId="0" xfId="0" applyFont="1" applyFill="1" applyAlignment="1">
      <alignment vertical="center"/>
    </xf>
    <xf numFmtId="167" fontId="10" fillId="4" borderId="0" xfId="0" applyNumberFormat="1" applyFont="1" applyFill="1" applyAlignment="1">
      <alignment horizontal="center" vertical="center"/>
    </xf>
    <xf numFmtId="0" fontId="10" fillId="4" borderId="0" xfId="0" applyFont="1" applyFill="1" applyAlignment="1">
      <alignment vertical="center" wrapText="1"/>
    </xf>
    <xf numFmtId="0" fontId="4" fillId="8" borderId="0" xfId="0" applyFont="1" applyFill="1" applyAlignment="1">
      <alignment horizontal="left" vertical="center"/>
    </xf>
    <xf numFmtId="0" fontId="6" fillId="8" borderId="0" xfId="0" applyFont="1" applyFill="1" applyAlignment="1">
      <alignment vertical="center"/>
    </xf>
    <xf numFmtId="0" fontId="10" fillId="8" borderId="0" xfId="0" applyFont="1" applyFill="1" applyAlignment="1">
      <alignment vertical="center"/>
    </xf>
    <xf numFmtId="167" fontId="10" fillId="8" borderId="0" xfId="0" applyNumberFormat="1" applyFont="1" applyFill="1" applyAlignment="1">
      <alignment horizontal="center" vertical="center"/>
    </xf>
    <xf numFmtId="0" fontId="10" fillId="8" borderId="0" xfId="0" applyFont="1" applyFill="1" applyAlignment="1">
      <alignment vertical="center" wrapText="1"/>
    </xf>
    <xf numFmtId="0" fontId="4" fillId="9" borderId="0" xfId="0" applyFont="1" applyFill="1" applyAlignment="1">
      <alignment horizontal="left" vertical="center"/>
    </xf>
    <xf numFmtId="0" fontId="6" fillId="9" borderId="0" xfId="0" applyFont="1" applyFill="1" applyAlignment="1">
      <alignment vertical="center"/>
    </xf>
    <xf numFmtId="0" fontId="10" fillId="9" borderId="0" xfId="0" applyFont="1" applyFill="1" applyAlignment="1">
      <alignment vertical="center"/>
    </xf>
    <xf numFmtId="0" fontId="11" fillId="9" borderId="0" xfId="0" applyFont="1" applyFill="1" applyAlignment="1">
      <alignment horizontal="center" vertical="center" wrapText="1"/>
    </xf>
    <xf numFmtId="0" fontId="11" fillId="9" borderId="0" xfId="0" applyFont="1" applyFill="1" applyAlignment="1">
      <alignment vertical="center" wrapText="1"/>
    </xf>
    <xf numFmtId="0" fontId="11" fillId="14" borderId="0" xfId="0" applyFont="1" applyFill="1" applyAlignment="1">
      <alignment vertical="center" wrapText="1"/>
    </xf>
    <xf numFmtId="0" fontId="19" fillId="0" borderId="0" xfId="0" applyFont="1" applyAlignment="1">
      <alignment vertical="center"/>
    </xf>
    <xf numFmtId="0" fontId="4" fillId="0" borderId="0" xfId="0" applyFont="1" applyAlignment="1">
      <alignment vertical="center"/>
    </xf>
    <xf numFmtId="0" fontId="4" fillId="10" borderId="0" xfId="0" applyFont="1" applyFill="1" applyAlignment="1">
      <alignment horizontal="left" vertical="center"/>
    </xf>
    <xf numFmtId="14" fontId="6" fillId="10" borderId="0" xfId="0" applyNumberFormat="1" applyFont="1" applyFill="1" applyAlignment="1">
      <alignment vertical="center"/>
    </xf>
    <xf numFmtId="0" fontId="10" fillId="10" borderId="0" xfId="0" applyFont="1" applyFill="1" applyAlignment="1">
      <alignment vertical="center"/>
    </xf>
    <xf numFmtId="0" fontId="4" fillId="11" borderId="0" xfId="0" applyFont="1" applyFill="1" applyAlignment="1">
      <alignment horizontal="left" vertical="center"/>
    </xf>
    <xf numFmtId="0" fontId="6" fillId="11" borderId="0" xfId="0" applyFont="1" applyFill="1" applyAlignment="1">
      <alignment vertical="center"/>
    </xf>
    <xf numFmtId="0" fontId="10" fillId="12" borderId="0" xfId="0" applyFont="1" applyFill="1" applyAlignment="1">
      <alignment vertical="center"/>
    </xf>
    <xf numFmtId="167" fontId="11" fillId="12" borderId="0" xfId="0" applyNumberFormat="1" applyFont="1" applyFill="1" applyAlignment="1">
      <alignment horizontal="center" vertical="center"/>
    </xf>
    <xf numFmtId="0" fontId="11" fillId="11" borderId="0" xfId="0" applyFont="1" applyFill="1" applyAlignment="1">
      <alignment vertical="center" wrapText="1"/>
    </xf>
    <xf numFmtId="0" fontId="27" fillId="14" borderId="0" xfId="0" applyFont="1" applyFill="1" applyAlignment="1">
      <alignment vertical="center" wrapText="1"/>
    </xf>
    <xf numFmtId="0" fontId="28" fillId="0" borderId="0" xfId="0" applyFont="1" applyAlignment="1">
      <alignment vertical="center" wrapText="1"/>
    </xf>
    <xf numFmtId="0" fontId="24" fillId="0" borderId="0" xfId="0" applyFont="1" applyAlignment="1">
      <alignment vertical="center"/>
    </xf>
    <xf numFmtId="0" fontId="23" fillId="0" borderId="0" xfId="0" applyFont="1" applyAlignment="1">
      <alignment vertical="center"/>
    </xf>
    <xf numFmtId="0" fontId="11" fillId="6" borderId="0" xfId="0" applyFont="1" applyFill="1" applyAlignment="1">
      <alignment vertical="center" wrapText="1"/>
    </xf>
    <xf numFmtId="0" fontId="22" fillId="0" borderId="0" xfId="0" applyFont="1" applyAlignment="1">
      <alignment vertical="center"/>
    </xf>
    <xf numFmtId="0" fontId="21" fillId="0" borderId="0" xfId="0" applyFont="1" applyAlignment="1">
      <alignment vertical="center"/>
    </xf>
    <xf numFmtId="0" fontId="10" fillId="0" borderId="0" xfId="0" applyFont="1" applyAlignment="1">
      <alignment horizontal="left" vertical="center" wrapText="1"/>
    </xf>
    <xf numFmtId="0" fontId="10" fillId="8" borderId="0" xfId="0" applyFont="1" applyFill="1" applyAlignment="1">
      <alignment horizontal="left" vertical="center" wrapText="1"/>
    </xf>
    <xf numFmtId="0" fontId="18" fillId="13" borderId="0" xfId="0" applyFont="1" applyFill="1" applyAlignment="1">
      <alignment vertical="center"/>
    </xf>
    <xf numFmtId="0" fontId="29" fillId="13" borderId="0" xfId="0" applyFont="1" applyFill="1" applyAlignment="1">
      <alignment horizontal="center" vertical="center" wrapText="1"/>
    </xf>
    <xf numFmtId="0" fontId="29" fillId="13" borderId="0" xfId="0" applyFont="1" applyFill="1" applyAlignment="1">
      <alignment vertical="center" wrapText="1"/>
    </xf>
    <xf numFmtId="0" fontId="29" fillId="14" borderId="0" xfId="0" applyFont="1" applyFill="1" applyAlignment="1">
      <alignment vertical="center" wrapText="1"/>
    </xf>
    <xf numFmtId="167" fontId="11" fillId="10" borderId="0" xfId="0" applyNumberFormat="1" applyFont="1" applyFill="1" applyAlignment="1">
      <alignment horizontal="center" vertical="center"/>
    </xf>
    <xf numFmtId="0" fontId="11" fillId="10" borderId="0" xfId="0" applyFont="1" applyFill="1" applyAlignment="1">
      <alignment vertical="center"/>
    </xf>
    <xf numFmtId="0" fontId="20" fillId="0" borderId="0" xfId="0" applyFont="1" applyAlignment="1">
      <alignment vertical="center"/>
    </xf>
    <xf numFmtId="166" fontId="10" fillId="8" borderId="0" xfId="0" applyNumberFormat="1" applyFont="1" applyFill="1" applyAlignment="1">
      <alignment horizontal="left" vertical="center" wrapText="1"/>
    </xf>
    <xf numFmtId="166" fontId="10" fillId="0" borderId="0" xfId="0" applyNumberFormat="1" applyFont="1" applyAlignment="1">
      <alignment horizontal="left" vertical="center" wrapText="1"/>
    </xf>
    <xf numFmtId="0" fontId="3" fillId="2" borderId="0" xfId="0" applyFont="1" applyFill="1" applyAlignment="1">
      <alignment vertical="center"/>
    </xf>
    <xf numFmtId="167" fontId="16" fillId="5" borderId="0" xfId="0" applyNumberFormat="1" applyFont="1" applyFill="1" applyAlignment="1">
      <alignment vertical="top"/>
    </xf>
    <xf numFmtId="0" fontId="31" fillId="0" borderId="0" xfId="0" applyFont="1" applyAlignment="1">
      <alignment vertical="top"/>
    </xf>
    <xf numFmtId="0" fontId="31" fillId="0" borderId="0" xfId="0" applyFont="1" applyAlignment="1">
      <alignment vertical="center"/>
    </xf>
    <xf numFmtId="0" fontId="31" fillId="0" borderId="0" xfId="0" applyFont="1" applyAlignment="1">
      <alignment horizontal="left" vertical="top"/>
    </xf>
    <xf numFmtId="0" fontId="31" fillId="0" borderId="0" xfId="0" applyFont="1" applyAlignment="1">
      <alignment horizontal="left" vertical="center"/>
    </xf>
    <xf numFmtId="0" fontId="30" fillId="5" borderId="0" xfId="0" applyFont="1" applyFill="1" applyAlignment="1">
      <alignment horizontal="left" vertical="top"/>
    </xf>
    <xf numFmtId="0" fontId="30" fillId="5" borderId="0" xfId="0" applyFont="1" applyFill="1" applyAlignment="1">
      <alignment vertical="top"/>
    </xf>
    <xf numFmtId="0" fontId="30" fillId="0" borderId="0" xfId="0" applyFont="1" applyAlignment="1">
      <alignment vertical="top"/>
    </xf>
    <xf numFmtId="0" fontId="30" fillId="0" borderId="0" xfId="0" applyFont="1" applyAlignment="1">
      <alignment horizontal="left" vertical="top"/>
    </xf>
    <xf numFmtId="0" fontId="26" fillId="0" borderId="0" xfId="0" applyFont="1" applyAlignment="1">
      <alignment vertical="center"/>
    </xf>
    <xf numFmtId="0" fontId="28" fillId="0" borderId="0" xfId="0" applyFont="1" applyAlignment="1">
      <alignment vertical="center"/>
    </xf>
  </cellXfs>
  <cellStyles count="1">
    <cellStyle name="Normal" xfId="0" builtinId="0"/>
  </cellStyles>
  <dxfs count="0"/>
  <tableStyles count="0" defaultTableStyle="TableStyleMedium2" defaultPivotStyle="PivotStyleLight16"/>
  <colors>
    <mruColors>
      <color rgb="FFFFE5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C90D-0CF7-4E78-917A-9038FC6FA689}">
  <sheetPr filterMode="1"/>
  <dimension ref="A1:P1048576"/>
  <sheetViews>
    <sheetView tabSelected="1" zoomScale="115" zoomScaleNormal="115" workbookViewId="0">
      <pane xSplit="2" ySplit="1" topLeftCell="C141" activePane="bottomRight" state="frozen"/>
      <selection pane="bottomRight" activeCell="D165" sqref="D165"/>
      <selection pane="bottomLeft" activeCell="A2" sqref="A2"/>
      <selection pane="topRight" activeCell="C1" sqref="C1"/>
    </sheetView>
  </sheetViews>
  <sheetFormatPr defaultColWidth="8.7109375" defaultRowHeight="15" outlineLevelCol="1"/>
  <cols>
    <col min="1" max="1" width="12.140625" style="162" customWidth="1" outlineLevel="1"/>
    <col min="2" max="3" width="12" style="154" customWidth="1" outlineLevel="1"/>
    <col min="4" max="4" width="7.42578125" style="161" customWidth="1" outlineLevel="1"/>
    <col min="5" max="5" width="17.85546875" style="154" customWidth="1" outlineLevel="1"/>
    <col min="6" max="6" width="10.85546875" style="154" customWidth="1" outlineLevel="1"/>
    <col min="7" max="7" width="14.85546875" style="232" customWidth="1" outlineLevel="1"/>
    <col min="8" max="8" width="17.140625" style="232" customWidth="1" outlineLevel="1"/>
    <col min="9" max="9" width="4.42578125" style="233" customWidth="1" outlineLevel="1"/>
    <col min="10" max="10" width="10.85546875" style="124" customWidth="1"/>
    <col min="11" max="11" width="6.7109375" style="3" customWidth="1"/>
    <col min="12" max="12" width="9.85546875" style="97" bestFit="1" customWidth="1"/>
    <col min="13" max="13" width="5.42578125" style="133" customWidth="1"/>
    <col min="14" max="14" width="80.85546875" style="97" customWidth="1"/>
    <col min="15" max="15" width="23.42578125" style="97" customWidth="1"/>
    <col min="16" max="16" width="58" style="134" customWidth="1"/>
    <col min="17" max="16384" width="8.7109375" style="124"/>
  </cols>
  <sheetData>
    <row r="1" spans="1:16" s="159" customFormat="1" ht="12">
      <c r="A1" s="159" t="s">
        <v>0</v>
      </c>
      <c r="B1" s="160" t="s">
        <v>0</v>
      </c>
      <c r="C1" s="160" t="s">
        <v>1</v>
      </c>
      <c r="D1" s="161" t="s">
        <v>2</v>
      </c>
      <c r="E1" s="154" t="s">
        <v>3</v>
      </c>
      <c r="F1" s="154" t="s">
        <v>4</v>
      </c>
      <c r="G1" s="231" t="s">
        <v>5</v>
      </c>
      <c r="H1" s="231" t="s">
        <v>6</v>
      </c>
      <c r="I1" s="230" t="s">
        <v>7</v>
      </c>
      <c r="M1" s="225"/>
      <c r="O1" s="162" t="s">
        <v>8</v>
      </c>
      <c r="P1" s="159" t="s">
        <v>9</v>
      </c>
    </row>
    <row r="2" spans="1:16" ht="18.95">
      <c r="B2" s="154">
        <v>45839</v>
      </c>
      <c r="G2" s="226"/>
      <c r="I2" s="228"/>
      <c r="J2" s="123" t="s">
        <v>10</v>
      </c>
      <c r="K2" s="155"/>
      <c r="L2" s="96"/>
      <c r="M2" s="125"/>
      <c r="N2" s="96"/>
      <c r="O2" s="140"/>
    </row>
    <row r="3" spans="1:16" s="171" customFormat="1">
      <c r="A3" s="163"/>
      <c r="B3" s="164">
        <v>45839</v>
      </c>
      <c r="C3" s="164" t="str">
        <f>J3</f>
        <v>18:00 - 21:00</v>
      </c>
      <c r="D3" s="165"/>
      <c r="E3" s="164" t="s">
        <v>11</v>
      </c>
      <c r="F3" s="164"/>
      <c r="G3" s="227"/>
      <c r="H3" s="232"/>
      <c r="I3" s="229"/>
      <c r="J3" s="166" t="s">
        <v>12</v>
      </c>
      <c r="K3" s="167" t="s">
        <v>11</v>
      </c>
      <c r="L3" s="168"/>
      <c r="M3" s="169"/>
      <c r="N3" s="168"/>
      <c r="O3" s="168"/>
      <c r="P3" s="170"/>
    </row>
    <row r="4" spans="1:16">
      <c r="G4" s="226"/>
      <c r="I4" s="228"/>
      <c r="J4" s="122"/>
      <c r="K4" s="156"/>
      <c r="M4" s="126"/>
    </row>
    <row r="5" spans="1:16" ht="18.95">
      <c r="B5" s="154">
        <v>45840</v>
      </c>
      <c r="G5" s="226"/>
      <c r="I5" s="228"/>
      <c r="J5" s="123" t="s">
        <v>13</v>
      </c>
      <c r="K5" s="155"/>
      <c r="L5" s="96"/>
      <c r="M5" s="125"/>
      <c r="N5" s="96"/>
      <c r="O5" s="140"/>
    </row>
    <row r="6" spans="1:16" s="171" customFormat="1" hidden="1">
      <c r="A6" s="163"/>
      <c r="B6" s="164">
        <v>45840</v>
      </c>
      <c r="C6" s="164" t="str">
        <f t="shared" ref="C6:C12" si="0">J6</f>
        <v>8:30 - 9:00</v>
      </c>
      <c r="D6" s="165"/>
      <c r="E6" s="164" t="s">
        <v>14</v>
      </c>
      <c r="F6" s="164"/>
      <c r="G6" s="227"/>
      <c r="H6" s="232"/>
      <c r="I6" s="229"/>
      <c r="J6" s="166" t="s">
        <v>15</v>
      </c>
      <c r="K6" s="167" t="s">
        <v>16</v>
      </c>
      <c r="L6" s="168"/>
      <c r="M6" s="172"/>
      <c r="N6" s="173"/>
      <c r="O6" s="173"/>
      <c r="P6" s="170"/>
    </row>
    <row r="7" spans="1:16" s="171" customFormat="1">
      <c r="A7" s="163"/>
      <c r="B7" s="164">
        <v>45840</v>
      </c>
      <c r="C7" s="164" t="str">
        <f t="shared" si="0"/>
        <v>9:00 - 9:30</v>
      </c>
      <c r="D7" s="165"/>
      <c r="E7" s="164" t="s">
        <v>17</v>
      </c>
      <c r="F7" s="164"/>
      <c r="G7" s="227"/>
      <c r="H7" s="232"/>
      <c r="I7" s="229"/>
      <c r="J7" s="166" t="s">
        <v>18</v>
      </c>
      <c r="K7" s="167" t="s">
        <v>17</v>
      </c>
      <c r="L7" s="168"/>
      <c r="M7" s="172"/>
      <c r="N7" s="173"/>
      <c r="O7" s="173"/>
      <c r="P7" s="170"/>
    </row>
    <row r="8" spans="1:16" s="171" customFormat="1">
      <c r="A8" s="163"/>
      <c r="B8" s="164">
        <v>45840</v>
      </c>
      <c r="C8" s="164" t="str">
        <f t="shared" si="0"/>
        <v>9:30 - 9:50</v>
      </c>
      <c r="D8" s="165"/>
      <c r="E8" s="164" t="s">
        <v>19</v>
      </c>
      <c r="F8" s="164"/>
      <c r="G8" s="227"/>
      <c r="H8" s="232"/>
      <c r="I8" s="229"/>
      <c r="J8" s="166" t="s">
        <v>20</v>
      </c>
      <c r="K8" s="167" t="s">
        <v>19</v>
      </c>
      <c r="L8" s="168"/>
      <c r="M8" s="172"/>
      <c r="N8" s="173"/>
      <c r="O8" s="173"/>
      <c r="P8" s="170"/>
    </row>
    <row r="9" spans="1:16" s="179" customFormat="1">
      <c r="A9" s="163" t="s">
        <v>21</v>
      </c>
      <c r="B9" s="164">
        <v>45840</v>
      </c>
      <c r="C9" s="164" t="str">
        <f t="shared" si="0"/>
        <v>9:50 - 10:50</v>
      </c>
      <c r="D9" s="165"/>
      <c r="E9" s="164" t="s">
        <v>22</v>
      </c>
      <c r="F9" s="164"/>
      <c r="G9" s="227"/>
      <c r="H9" s="232"/>
      <c r="I9" s="229"/>
      <c r="J9" s="174" t="s">
        <v>23</v>
      </c>
      <c r="K9" s="224" t="s">
        <v>22</v>
      </c>
      <c r="L9" s="175"/>
      <c r="M9" s="176"/>
      <c r="N9" s="177"/>
      <c r="O9" s="178"/>
      <c r="P9" s="170"/>
    </row>
    <row r="10" spans="1:16" s="171" customFormat="1" hidden="1">
      <c r="A10" s="163"/>
      <c r="B10" s="164">
        <v>45840</v>
      </c>
      <c r="C10" s="164" t="str">
        <f t="shared" si="0"/>
        <v>10:50 - 11:00</v>
      </c>
      <c r="D10" s="165"/>
      <c r="E10" s="164" t="s">
        <v>24</v>
      </c>
      <c r="F10" s="164"/>
      <c r="G10" s="227"/>
      <c r="H10" s="232"/>
      <c r="I10" s="229"/>
      <c r="J10" s="180" t="s">
        <v>25</v>
      </c>
      <c r="K10" s="181" t="s">
        <v>24</v>
      </c>
      <c r="L10" s="182"/>
      <c r="M10" s="183"/>
      <c r="N10" s="184"/>
      <c r="O10" s="173"/>
      <c r="P10" s="170"/>
    </row>
    <row r="11" spans="1:16" s="171" customFormat="1">
      <c r="A11" s="163" t="s">
        <v>26</v>
      </c>
      <c r="B11" s="164">
        <v>45840</v>
      </c>
      <c r="C11" s="164" t="str">
        <f t="shared" si="0"/>
        <v>11:00 - 11:20</v>
      </c>
      <c r="D11" s="165" t="s">
        <v>27</v>
      </c>
      <c r="E11" s="164" t="s">
        <v>28</v>
      </c>
      <c r="F11" s="164"/>
      <c r="G11" s="227"/>
      <c r="H11" s="232"/>
      <c r="I11" s="229"/>
      <c r="J11" s="185" t="s">
        <v>29</v>
      </c>
      <c r="K11" s="186" t="s">
        <v>28</v>
      </c>
      <c r="L11" s="187"/>
      <c r="M11" s="188"/>
      <c r="N11" s="189"/>
      <c r="O11" s="173"/>
      <c r="P11" s="170"/>
    </row>
    <row r="12" spans="1:16" s="171" customFormat="1" ht="18.95">
      <c r="A12" s="163" t="s">
        <v>30</v>
      </c>
      <c r="B12" s="164">
        <v>45840</v>
      </c>
      <c r="C12" s="164" t="str">
        <f t="shared" si="0"/>
        <v>11:20 - 12:30</v>
      </c>
      <c r="D12" s="165" t="s">
        <v>31</v>
      </c>
      <c r="E12" s="164" t="s">
        <v>32</v>
      </c>
      <c r="F12" s="164" t="s">
        <v>33</v>
      </c>
      <c r="G12" s="227"/>
      <c r="H12" s="232"/>
      <c r="I12" s="229"/>
      <c r="J12" s="190" t="s">
        <v>34</v>
      </c>
      <c r="K12" s="191" t="str">
        <f>CONCATENATE(E12, ": ", F12)</f>
        <v>Speaker-led Presentations 1: INTELLIGENT ROBOTIC ASSEMBLY</v>
      </c>
      <c r="L12" s="192"/>
      <c r="M12" s="193"/>
      <c r="N12" s="194"/>
      <c r="O12" s="195" t="s">
        <v>35</v>
      </c>
      <c r="P12" s="196"/>
    </row>
    <row r="13" spans="1:16">
      <c r="A13" s="162" t="s">
        <v>30</v>
      </c>
      <c r="B13" s="154">
        <v>45840</v>
      </c>
      <c r="C13" s="154" t="str">
        <f>L13</f>
        <v>11:20 - 11:25</v>
      </c>
      <c r="D13" s="161" t="s">
        <v>31</v>
      </c>
      <c r="E13" s="154" t="s">
        <v>32</v>
      </c>
      <c r="F13" s="154" t="s">
        <v>33</v>
      </c>
      <c r="G13" s="226"/>
      <c r="I13" s="228"/>
      <c r="J13" s="118"/>
      <c r="K13" s="50"/>
      <c r="L13" s="99" t="s">
        <v>36</v>
      </c>
      <c r="M13" s="129"/>
      <c r="N13" s="100" t="s">
        <v>37</v>
      </c>
      <c r="O13" s="127"/>
    </row>
    <row r="14" spans="1:16" ht="24">
      <c r="A14" s="162" t="s">
        <v>30</v>
      </c>
      <c r="B14" s="154">
        <v>45840</v>
      </c>
      <c r="C14" s="161" t="str">
        <f>L14</f>
        <v>11:25 - 11:40</v>
      </c>
      <c r="D14" s="161" t="s">
        <v>31</v>
      </c>
      <c r="E14" s="154" t="s">
        <v>32</v>
      </c>
      <c r="F14" s="154" t="s">
        <v>33</v>
      </c>
      <c r="G14" s="232" t="str">
        <f>LEFT(N14, FIND("By ", N14) - 1)</f>
        <v xml:space="preserve">DESIGN VALIDATION FOR ROBOTIC FABRICATION: A MULTI-STAGE FRAMEWORK FOR COMPLEX AND NON-REPETITIVE PROCESSES 
</v>
      </c>
      <c r="H14" s="232" t="str">
        <f>RIGHT(N14,LEN(N14)-FIND("By ",N14)-2)</f>
        <v>Pok Yin Victor Leung and Yijiang Huang</v>
      </c>
      <c r="I14" s="233">
        <v>238</v>
      </c>
      <c r="J14" s="118"/>
      <c r="K14" s="50"/>
      <c r="L14" s="101" t="s">
        <v>38</v>
      </c>
      <c r="M14" s="129">
        <v>238</v>
      </c>
      <c r="N14" s="102" t="s">
        <v>39</v>
      </c>
      <c r="O14" s="141"/>
    </row>
    <row r="15" spans="1:16" ht="24">
      <c r="A15" s="162" t="s">
        <v>30</v>
      </c>
      <c r="B15" s="154">
        <v>45840</v>
      </c>
      <c r="C15" s="161" t="str">
        <f t="shared" ref="C15:C17" si="1">L15</f>
        <v>11:40 - 11:55</v>
      </c>
      <c r="D15" s="161" t="s">
        <v>31</v>
      </c>
      <c r="E15" s="154" t="s">
        <v>32</v>
      </c>
      <c r="F15" s="154" t="s">
        <v>33</v>
      </c>
      <c r="G15" s="232" t="str">
        <f>LEFT(N15, FIND("By ", N15) - 1)</f>
        <v xml:space="preserve">TPACS: PHYGITAL-AIDED CONSTRUCTION SYSTEM BASED ON MODULAR CUSTOMIZABLE TIMBER FABRICATION
</v>
      </c>
      <c r="H15" s="232" t="str">
        <f>RIGHT(N15,LEN(N15)-FIND("By ",N15)-2)</f>
        <v>Yuhong Wu and Tiantian Lo</v>
      </c>
      <c r="I15" s="233">
        <v>349</v>
      </c>
      <c r="J15" s="118"/>
      <c r="K15" s="50"/>
      <c r="L15" s="101" t="s">
        <v>40</v>
      </c>
      <c r="M15" s="129">
        <v>349</v>
      </c>
      <c r="N15" s="102" t="s">
        <v>41</v>
      </c>
      <c r="O15" s="141"/>
    </row>
    <row r="16" spans="1:16" ht="24">
      <c r="A16" s="162" t="s">
        <v>30</v>
      </c>
      <c r="B16" s="154">
        <v>45840</v>
      </c>
      <c r="C16" s="161" t="str">
        <f t="shared" si="1"/>
        <v>11:55 - 12:10</v>
      </c>
      <c r="D16" s="161" t="s">
        <v>31</v>
      </c>
      <c r="E16" s="154" t="s">
        <v>32</v>
      </c>
      <c r="F16" s="154" t="s">
        <v>33</v>
      </c>
      <c r="G16" s="232" t="str">
        <f>LEFT(N16, FIND("By ", N16) - 1)</f>
        <v xml:space="preserve">PARAMETRIC BIOMIMICRY: TRANSLATING SPIRAL SEASHELL FORMATION INTO ROBOTIC 3D PRINTING
</v>
      </c>
      <c r="H16" s="232" t="str">
        <f>RIGHT(N16,LEN(N16)-FIND("By ",N16)-2)</f>
        <v>Ali Farajmandi and Negar Kalantar</v>
      </c>
      <c r="I16" s="233">
        <v>36</v>
      </c>
      <c r="J16" s="118"/>
      <c r="K16" s="50"/>
      <c r="L16" s="101" t="s">
        <v>42</v>
      </c>
      <c r="M16" s="129">
        <v>36</v>
      </c>
      <c r="N16" s="102" t="s">
        <v>43</v>
      </c>
      <c r="O16" s="141"/>
    </row>
    <row r="17" spans="1:16">
      <c r="A17" s="162" t="s">
        <v>30</v>
      </c>
      <c r="B17" s="154">
        <v>45840</v>
      </c>
      <c r="C17" s="161" t="str">
        <f t="shared" si="1"/>
        <v>12:10 - 12:30</v>
      </c>
      <c r="D17" s="161" t="s">
        <v>31</v>
      </c>
      <c r="E17" s="154" t="s">
        <v>32</v>
      </c>
      <c r="F17" s="154" t="s">
        <v>33</v>
      </c>
      <c r="G17" s="226"/>
      <c r="I17" s="228"/>
      <c r="J17" s="118"/>
      <c r="K17" s="50"/>
      <c r="L17" s="101" t="s">
        <v>44</v>
      </c>
      <c r="M17" s="129"/>
      <c r="N17" s="102" t="s">
        <v>45</v>
      </c>
      <c r="O17" s="141"/>
    </row>
    <row r="18" spans="1:16" s="171" customFormat="1">
      <c r="A18" s="163"/>
      <c r="B18" s="164">
        <v>45840</v>
      </c>
      <c r="C18" s="164" t="str">
        <f t="shared" ref="C18:C19" si="2">J18</f>
        <v>12:30 - 13:10</v>
      </c>
      <c r="D18" s="165"/>
      <c r="E18" s="164" t="s">
        <v>46</v>
      </c>
      <c r="F18" s="164"/>
      <c r="G18" s="227"/>
      <c r="H18" s="232"/>
      <c r="I18" s="229"/>
      <c r="J18" s="166" t="s">
        <v>47</v>
      </c>
      <c r="K18" s="197" t="s">
        <v>46</v>
      </c>
      <c r="L18" s="168"/>
      <c r="M18" s="172"/>
      <c r="N18" s="173"/>
      <c r="O18" s="173"/>
      <c r="P18" s="170"/>
    </row>
    <row r="19" spans="1:16" s="171" customFormat="1">
      <c r="A19" s="163" t="s">
        <v>48</v>
      </c>
      <c r="B19" s="164">
        <v>45840</v>
      </c>
      <c r="C19" s="164" t="str">
        <f t="shared" si="2"/>
        <v>13:10 - 14:00</v>
      </c>
      <c r="D19" s="165"/>
      <c r="E19" s="164" t="s">
        <v>49</v>
      </c>
      <c r="F19" s="164"/>
      <c r="G19" s="227"/>
      <c r="H19" s="232"/>
      <c r="I19" s="229"/>
      <c r="J19" s="198" t="s">
        <v>50</v>
      </c>
      <c r="K19" s="199" t="str">
        <f>E19</f>
        <v>Parallel Presentations 1</v>
      </c>
      <c r="L19" s="200"/>
      <c r="M19" s="200"/>
      <c r="N19" s="200"/>
      <c r="O19" s="168"/>
      <c r="P19" s="170"/>
    </row>
    <row r="20" spans="1:16">
      <c r="A20" s="162" t="s">
        <v>48</v>
      </c>
      <c r="B20" s="154">
        <v>45840</v>
      </c>
      <c r="C20" s="154" t="s">
        <v>51</v>
      </c>
      <c r="D20" s="161" t="s">
        <v>52</v>
      </c>
      <c r="E20" s="154" t="s">
        <v>49</v>
      </c>
      <c r="F20" s="154" t="s">
        <v>53</v>
      </c>
      <c r="G20" s="226"/>
      <c r="I20" s="228"/>
      <c r="J20" s="119"/>
      <c r="K20" s="55"/>
      <c r="L20" s="157" t="str">
        <f>C20</f>
        <v>13:10 - 13:50</v>
      </c>
      <c r="M20" s="152"/>
      <c r="N20" s="153" t="str">
        <f>F20</f>
        <v>URBAN PERCEPTIONS &amp; PATTERNS</v>
      </c>
    </row>
    <row r="21" spans="1:16" ht="36">
      <c r="A21" s="162" t="s">
        <v>48</v>
      </c>
      <c r="B21" s="154">
        <v>45840</v>
      </c>
      <c r="C21" s="161" t="str">
        <f t="shared" ref="C21:C24" si="3">L21</f>
        <v>13:10 - 13:20</v>
      </c>
      <c r="D21" s="161" t="s">
        <v>52</v>
      </c>
      <c r="E21" s="154" t="s">
        <v>49</v>
      </c>
      <c r="F21" s="154" t="s">
        <v>53</v>
      </c>
      <c r="G21" s="232" t="str">
        <f>LEFT(N21, FIND("By ", N21) - 1)</f>
        <v xml:space="preserve">SUPERIORITY OF HIGH-DIMENSIONAL LATENT VARIABLE REPRESENTATION IN URBAN SPATIAL STRUCTURE: EVIDENCE FROM AN URBAN CLIMATE STUDY
</v>
      </c>
      <c r="H21" s="232" t="str">
        <f>RIGHT(N21,LEN(N21)-FIND("By ",N21)-2)</f>
        <v>Yanting Shen, Mengqing Yu, Chenyu Huang and Jiawei Yao</v>
      </c>
      <c r="I21" s="233">
        <v>5</v>
      </c>
      <c r="J21" s="119"/>
      <c r="K21" s="55"/>
      <c r="L21" s="103" t="s">
        <v>54</v>
      </c>
      <c r="M21" s="130">
        <v>5</v>
      </c>
      <c r="N21" s="104" t="s">
        <v>55</v>
      </c>
      <c r="O21" s="143"/>
    </row>
    <row r="22" spans="1:16" ht="24">
      <c r="A22" s="162" t="s">
        <v>48</v>
      </c>
      <c r="B22" s="154">
        <v>45840</v>
      </c>
      <c r="C22" s="161" t="str">
        <f t="shared" si="3"/>
        <v>13:20 - 13:30</v>
      </c>
      <c r="D22" s="161" t="s">
        <v>52</v>
      </c>
      <c r="E22" s="154" t="s">
        <v>49</v>
      </c>
      <c r="F22" s="154" t="s">
        <v>53</v>
      </c>
      <c r="G22" s="232" t="str">
        <f>LEFT(N22, FIND("By ", N22) - 1)</f>
        <v xml:space="preserve">BOUNDARY VITALITY: ANALYZING URBAN PUBLIC PERCEPTION OF SPATIAL AND VISUAL ELEMENTS IN MANHATTAN
</v>
      </c>
      <c r="H22" s="232" t="str">
        <f>RIGHT(N22,LEN(N22)-FIND("By ",N22)-2)</f>
        <v>Yutong Wu, Jiani Du, Zhao Zhang and Han Tu</v>
      </c>
      <c r="I22" s="233">
        <v>46</v>
      </c>
      <c r="J22" s="119"/>
      <c r="K22" s="55"/>
      <c r="L22" s="103" t="s">
        <v>56</v>
      </c>
      <c r="M22" s="130">
        <v>46</v>
      </c>
      <c r="N22" s="104" t="s">
        <v>57</v>
      </c>
      <c r="O22" s="143"/>
    </row>
    <row r="23" spans="1:16" ht="24">
      <c r="A23" s="162" t="s">
        <v>48</v>
      </c>
      <c r="B23" s="154">
        <v>45840</v>
      </c>
      <c r="C23" s="161" t="str">
        <f t="shared" si="3"/>
        <v>13:30 - 13:40</v>
      </c>
      <c r="D23" s="161" t="s">
        <v>52</v>
      </c>
      <c r="E23" s="154" t="s">
        <v>49</v>
      </c>
      <c r="F23" s="154" t="s">
        <v>53</v>
      </c>
      <c r="G23" s="232" t="str">
        <f>LEFT(N23, FIND("By ", N23) - 1)</f>
        <v xml:space="preserve">ENHANCING END-TO-END PROCESSING, ANALYSIS, AND VISUALIZATION OF CITIZEN PARTICIPATION DATA IN URBAN DESIGN AND PLANNING
</v>
      </c>
      <c r="H23" s="232" t="str">
        <f>RIGHT(N23,LEN(N23)-FIND("By ",N23)-2)</f>
        <v>Cem Ataman, Simon Perrault and Bige Tuncer</v>
      </c>
      <c r="I23" s="233">
        <v>240</v>
      </c>
      <c r="J23" s="119"/>
      <c r="K23" s="55"/>
      <c r="L23" s="103" t="s">
        <v>58</v>
      </c>
      <c r="M23" s="130">
        <v>240</v>
      </c>
      <c r="N23" s="104" t="s">
        <v>59</v>
      </c>
      <c r="O23" s="143"/>
    </row>
    <row r="24" spans="1:16" ht="24">
      <c r="A24" s="162" t="s">
        <v>48</v>
      </c>
      <c r="B24" s="154">
        <v>45840</v>
      </c>
      <c r="C24" s="161" t="str">
        <f t="shared" si="3"/>
        <v>13:40 - 13:50</v>
      </c>
      <c r="D24" s="161" t="s">
        <v>52</v>
      </c>
      <c r="E24" s="154" t="s">
        <v>49</v>
      </c>
      <c r="F24" s="154" t="s">
        <v>53</v>
      </c>
      <c r="G24" s="232" t="str">
        <f>LEFT(N24, FIND("By ", N24) - 1)</f>
        <v xml:space="preserve">DEEP PERCEPTUAL URBAN FORM
</v>
      </c>
      <c r="H24" s="232" t="str">
        <f>RIGHT(N24,LEN(N24)-FIND("By ",N24)-2)</f>
        <v>Chee Meng Chan and Frederick Kim</v>
      </c>
      <c r="I24" s="233">
        <v>453</v>
      </c>
      <c r="J24" s="119"/>
      <c r="K24" s="55"/>
      <c r="L24" s="103" t="s">
        <v>60</v>
      </c>
      <c r="M24" s="130">
        <v>453</v>
      </c>
      <c r="N24" s="104" t="s">
        <v>61</v>
      </c>
      <c r="O24" s="143"/>
    </row>
    <row r="25" spans="1:16" ht="24">
      <c r="A25" s="162" t="s">
        <v>48</v>
      </c>
      <c r="B25" s="154">
        <v>45840</v>
      </c>
      <c r="C25" s="161" t="s">
        <v>50</v>
      </c>
      <c r="D25" s="161" t="s">
        <v>62</v>
      </c>
      <c r="E25" s="154" t="s">
        <v>49</v>
      </c>
      <c r="F25" s="154" t="s">
        <v>63</v>
      </c>
      <c r="G25" s="226"/>
      <c r="I25" s="228"/>
      <c r="J25" s="119"/>
      <c r="K25" s="55"/>
      <c r="L25" s="157" t="str">
        <f>C25</f>
        <v>13:10 - 14:00</v>
      </c>
      <c r="M25" s="152"/>
      <c r="N25" s="153" t="str">
        <f>F25</f>
        <v>AUGMENTING DESIGN GENERATION</v>
      </c>
      <c r="O25" s="145" t="s">
        <v>64</v>
      </c>
    </row>
    <row r="26" spans="1:16" ht="24">
      <c r="A26" s="162" t="s">
        <v>48</v>
      </c>
      <c r="B26" s="154">
        <v>45840</v>
      </c>
      <c r="C26" s="161" t="str">
        <f t="shared" ref="C26:C42" si="4">L26</f>
        <v>13:10 - 13:20</v>
      </c>
      <c r="D26" s="161" t="s">
        <v>62</v>
      </c>
      <c r="E26" s="154" t="s">
        <v>49</v>
      </c>
      <c r="F26" s="154" t="s">
        <v>63</v>
      </c>
      <c r="G26" s="232" t="str">
        <f>LEFT(N26, FIND("By ", N26) - 1)</f>
        <v xml:space="preserve">REC-ARCH: A CASE STUDY RECOMMENDER SYSTEM FOR ARCHITECTS USING VISION AND LANGUAGE MODELS
</v>
      </c>
      <c r="H26" s="232" t="str">
        <f>RIGHT(N26,LEN(N26)-FIND("By ",N26)-2)</f>
        <v>Danrui Li, Yichao Shi, Yaluo Wang, Ziying Shi and Mubbasir Kapadia</v>
      </c>
      <c r="I26" s="233">
        <v>169</v>
      </c>
      <c r="J26" s="119"/>
      <c r="K26" s="55"/>
      <c r="L26" s="103" t="s">
        <v>54</v>
      </c>
      <c r="M26" s="130">
        <v>169</v>
      </c>
      <c r="N26" s="104" t="s">
        <v>65</v>
      </c>
      <c r="O26" s="147" t="s">
        <v>66</v>
      </c>
      <c r="P26" s="134" t="s">
        <v>67</v>
      </c>
    </row>
    <row r="27" spans="1:16" ht="48">
      <c r="A27" s="162" t="s">
        <v>48</v>
      </c>
      <c r="B27" s="154">
        <v>45840</v>
      </c>
      <c r="C27" s="161" t="str">
        <f t="shared" si="4"/>
        <v>13:20 - 13:30</v>
      </c>
      <c r="D27" s="161" t="s">
        <v>62</v>
      </c>
      <c r="E27" s="154" t="s">
        <v>49</v>
      </c>
      <c r="F27" s="154" t="s">
        <v>63</v>
      </c>
      <c r="G27" s="232" t="str">
        <f>LEFT(N27, FIND("By ", N27) - 1)</f>
        <v xml:space="preserve">COLLABORATIVE, CONVERSATIONAL ARCHITECTURAL DESIGN PROCESS BETWEEN HUMAN DESIGNERS AND MULTIMODAL AI AGENTS FOR EARLY-STAGE DESIGN EXPLORATION
</v>
      </c>
      <c r="H27" s="232" t="str">
        <f>RIGHT(N27,LEN(N27)-FIND("By ",N27)-2)</f>
        <v>Lok Hang Cheung, Likai Wang and Juan Carlos Dall'Asta</v>
      </c>
      <c r="I27" s="233">
        <v>41</v>
      </c>
      <c r="J27" s="119"/>
      <c r="K27" s="55"/>
      <c r="L27" s="103" t="s">
        <v>56</v>
      </c>
      <c r="M27" s="130">
        <v>41</v>
      </c>
      <c r="N27" s="104" t="s">
        <v>68</v>
      </c>
      <c r="O27" s="148" t="s">
        <v>69</v>
      </c>
    </row>
    <row r="28" spans="1:16" ht="36">
      <c r="A28" s="162" t="s">
        <v>48</v>
      </c>
      <c r="B28" s="154">
        <v>45840</v>
      </c>
      <c r="C28" s="161" t="str">
        <f t="shared" si="4"/>
        <v>13:30 - 13:40</v>
      </c>
      <c r="D28" s="161" t="s">
        <v>62</v>
      </c>
      <c r="E28" s="154" t="s">
        <v>49</v>
      </c>
      <c r="F28" s="154" t="s">
        <v>63</v>
      </c>
      <c r="G28" s="232" t="str">
        <f>LEFT(N28, FIND("By ", N28) - 1)</f>
        <v xml:space="preserve">TWO-WAY INTERVENTIVE DESIGN AND MANUFACTURING: REAL-TIME DESIGN AND MATERIALITY VISUALIZATION THROUGH MIXED REALITY SYSTEMS BASED ON HAND TRACKING
</v>
      </c>
      <c r="H28" s="232" t="str">
        <f>RIGHT(N28,LEN(N28)-FIND("By ",N28)-2)</f>
        <v>Jiaxiang Luo and Tian Tian Lo</v>
      </c>
      <c r="I28" s="233">
        <v>255</v>
      </c>
      <c r="J28" s="119"/>
      <c r="K28" s="55"/>
      <c r="L28" s="103" t="s">
        <v>58</v>
      </c>
      <c r="M28" s="130">
        <v>255</v>
      </c>
      <c r="N28" s="104" t="s">
        <v>70</v>
      </c>
      <c r="O28" s="143"/>
    </row>
    <row r="29" spans="1:16" ht="24">
      <c r="A29" s="162" t="s">
        <v>48</v>
      </c>
      <c r="B29" s="154">
        <v>45840</v>
      </c>
      <c r="C29" s="161" t="str">
        <f t="shared" si="4"/>
        <v>13:40 - 13:50</v>
      </c>
      <c r="D29" s="161" t="s">
        <v>62</v>
      </c>
      <c r="E29" s="154" t="s">
        <v>49</v>
      </c>
      <c r="F29" s="154" t="s">
        <v>63</v>
      </c>
      <c r="G29" s="232" t="str">
        <f>LEFT(N29, FIND("By ", N29) - 1)</f>
        <v xml:space="preserve">MORPHOLOGICAL SECTIONS THROUGH LATENT SPACE
</v>
      </c>
      <c r="H29" s="232" t="str">
        <f>RIGHT(N29,LEN(N29)-FIND("By ",N29)-2)</f>
        <v>Xin Wang and Sam Joyce</v>
      </c>
      <c r="I29" s="233">
        <v>217</v>
      </c>
      <c r="J29" s="119"/>
      <c r="K29" s="55"/>
      <c r="L29" s="103" t="s">
        <v>60</v>
      </c>
      <c r="M29" s="130">
        <v>217</v>
      </c>
      <c r="N29" s="104" t="s">
        <v>71</v>
      </c>
      <c r="O29" s="143"/>
    </row>
    <row r="30" spans="1:16" ht="24">
      <c r="A30" s="162" t="s">
        <v>48</v>
      </c>
      <c r="B30" s="154">
        <v>45840</v>
      </c>
      <c r="C30" s="161" t="str">
        <f t="shared" si="4"/>
        <v>13:50 - 14:00</v>
      </c>
      <c r="D30" s="161" t="s">
        <v>62</v>
      </c>
      <c r="E30" s="154" t="s">
        <v>49</v>
      </c>
      <c r="F30" s="154" t="s">
        <v>63</v>
      </c>
      <c r="G30" s="232" t="str">
        <f>LEFT(N30, FIND("By ", N30) - 1)</f>
        <v xml:space="preserve">INTEGRATING AI TOOLS AND METHODS IN THE DESIGN PROCESS
</v>
      </c>
      <c r="H30" s="232" t="str">
        <f>RIGHT(N30,LEN(N30)-FIND("By ",N30)-2)</f>
        <v>Jaechang Ko, Sora Key and Mark Clayton</v>
      </c>
      <c r="I30" s="233">
        <v>141</v>
      </c>
      <c r="J30" s="119"/>
      <c r="K30" s="55"/>
      <c r="L30" s="103" t="s">
        <v>72</v>
      </c>
      <c r="M30" s="130">
        <v>141</v>
      </c>
      <c r="N30" s="104" t="s">
        <v>73</v>
      </c>
      <c r="O30" s="143"/>
    </row>
    <row r="31" spans="1:16" ht="24">
      <c r="A31" s="162" t="s">
        <v>48</v>
      </c>
      <c r="B31" s="154">
        <v>45840</v>
      </c>
      <c r="C31" s="161" t="s">
        <v>50</v>
      </c>
      <c r="D31" s="161" t="s">
        <v>74</v>
      </c>
      <c r="E31" s="154" t="s">
        <v>49</v>
      </c>
      <c r="F31" s="154" t="s">
        <v>75</v>
      </c>
      <c r="G31" s="226"/>
      <c r="I31" s="228"/>
      <c r="J31" s="119"/>
      <c r="K31" s="55"/>
      <c r="L31" s="157" t="str">
        <f>C31</f>
        <v>13:10 - 14:00</v>
      </c>
      <c r="M31" s="152"/>
      <c r="N31" s="153" t="str">
        <f>F31</f>
        <v>INTELLIGENT ROBOTICS &amp; LAYOUT PLANNING</v>
      </c>
      <c r="O31" s="145" t="s">
        <v>76</v>
      </c>
      <c r="P31" s="136"/>
    </row>
    <row r="32" spans="1:16" ht="24">
      <c r="A32" s="162" t="s">
        <v>48</v>
      </c>
      <c r="B32" s="154">
        <v>45840</v>
      </c>
      <c r="C32" s="161" t="str">
        <f t="shared" si="4"/>
        <v>13:10 - 13:20</v>
      </c>
      <c r="D32" s="161" t="s">
        <v>74</v>
      </c>
      <c r="E32" s="154" t="s">
        <v>49</v>
      </c>
      <c r="F32" s="154" t="s">
        <v>75</v>
      </c>
      <c r="G32" s="232" t="str">
        <f>LEFT(N32, FIND("By ", N32) - 1)</f>
        <v xml:space="preserve">MACHINE LEARNING AND MIXED REALITY-CONTROLLED CABLE ROBOTS FOR REAL-TIME CONSTRUCTION AUTOMATION
</v>
      </c>
      <c r="H32" s="232" t="str">
        <f>RIGHT(N32,LEN(N32)-FIND("By ",N32)-2)</f>
        <v>Qi Wang, Zhiyong Dong, Maowei Jiang and Peter Búš</v>
      </c>
      <c r="I32" s="233">
        <v>87</v>
      </c>
      <c r="J32" s="119"/>
      <c r="K32" s="55"/>
      <c r="L32" s="103" t="s">
        <v>54</v>
      </c>
      <c r="M32" s="130">
        <v>87</v>
      </c>
      <c r="N32" s="104" t="s">
        <v>77</v>
      </c>
      <c r="O32" s="143"/>
    </row>
    <row r="33" spans="1:16" ht="36">
      <c r="A33" s="162" t="s">
        <v>48</v>
      </c>
      <c r="B33" s="154">
        <v>45840</v>
      </c>
      <c r="C33" s="161" t="str">
        <f t="shared" si="4"/>
        <v>13:20 - 13:30</v>
      </c>
      <c r="D33" s="161" t="s">
        <v>74</v>
      </c>
      <c r="E33" s="154" t="s">
        <v>49</v>
      </c>
      <c r="F33" s="154" t="s">
        <v>75</v>
      </c>
      <c r="G33" s="232" t="str">
        <f>LEFT(N33, FIND("By ", N33) - 1)</f>
        <v xml:space="preserve">ENHANCING ROBOTIC EMBODIMENT IN ARCHITECTURE: AN INTELLIGENT APPROACH COMBINING VISION SYSTEMS AND GENERATIVE NEURAL NETWORKS FOR AUTONOMOUS DESIGN-TO-PRODUCTION
</v>
      </c>
      <c r="H33" s="232" t="str">
        <f>RIGHT(N33,LEN(N33)-FIND("By ",N33)-2)</f>
        <v>Zhiyong Dong, Qi Wang, Maowei Jiang and Peter Búš</v>
      </c>
      <c r="I33" s="233">
        <v>149</v>
      </c>
      <c r="J33" s="119"/>
      <c r="K33" s="55"/>
      <c r="L33" s="103" t="s">
        <v>56</v>
      </c>
      <c r="M33" s="130">
        <v>149</v>
      </c>
      <c r="N33" s="104" t="s">
        <v>78</v>
      </c>
      <c r="O33" s="143"/>
    </row>
    <row r="34" spans="1:16" ht="36">
      <c r="A34" s="162" t="s">
        <v>48</v>
      </c>
      <c r="B34" s="154">
        <v>45840</v>
      </c>
      <c r="C34" s="161" t="str">
        <f t="shared" si="4"/>
        <v>13:30 - 13:40</v>
      </c>
      <c r="D34" s="161" t="s">
        <v>74</v>
      </c>
      <c r="E34" s="154" t="s">
        <v>49</v>
      </c>
      <c r="F34" s="154" t="s">
        <v>75</v>
      </c>
      <c r="G34" s="232" t="str">
        <f>LEFT(N34, FIND("By ", N34) - 1)</f>
        <v xml:space="preserve">GRASP-TO-MILL (GTM) INTEGRATED WORKFLOW FOR NATURAL LOG JOINT FABRICATION BASED ON MULTI-OBJECTIVE OPTIMIZATION ALGORITHM
</v>
      </c>
      <c r="H34" s="232" t="str">
        <f>RIGHT(N34,LEN(N34)-FIND("By ",N34)-2)</f>
        <v>Yalei Zhu, Tianyi Gao, Hua Chai and Philip F. Yuan</v>
      </c>
      <c r="I34" s="233">
        <v>252</v>
      </c>
      <c r="J34" s="119"/>
      <c r="K34" s="55"/>
      <c r="L34" s="103" t="s">
        <v>58</v>
      </c>
      <c r="M34" s="130">
        <v>252</v>
      </c>
      <c r="N34" s="104" t="s">
        <v>79</v>
      </c>
      <c r="O34" s="143"/>
    </row>
    <row r="35" spans="1:16" ht="24">
      <c r="A35" s="162" t="s">
        <v>48</v>
      </c>
      <c r="B35" s="154">
        <v>45840</v>
      </c>
      <c r="C35" s="161" t="str">
        <f t="shared" si="4"/>
        <v>13:40 - 13:50</v>
      </c>
      <c r="D35" s="161" t="s">
        <v>74</v>
      </c>
      <c r="E35" s="154" t="s">
        <v>49</v>
      </c>
      <c r="F35" s="154" t="s">
        <v>75</v>
      </c>
      <c r="G35" s="232" t="str">
        <f>LEFT(N35, FIND("By ", N35) - 1)</f>
        <v xml:space="preserve">AUGMENTED ASSEMBLY: AN EXPLORATION OF MODULAR DESIGN TO FABRICATION BASED ON EXTENDED REALITY
</v>
      </c>
      <c r="H35" s="232" t="str">
        <f>RIGHT(N35,LEN(N35)-FIND("By ",N35)-2)</f>
        <v>Zhiyong Dong, Zhiqian Liu and Peter Búš</v>
      </c>
      <c r="I35" s="233">
        <v>357</v>
      </c>
      <c r="J35" s="119"/>
      <c r="K35" s="55"/>
      <c r="L35" s="103" t="s">
        <v>60</v>
      </c>
      <c r="M35" s="130">
        <v>357</v>
      </c>
      <c r="N35" s="104" t="s">
        <v>80</v>
      </c>
      <c r="O35" s="143"/>
    </row>
    <row r="36" spans="1:16" ht="24">
      <c r="A36" s="162" t="s">
        <v>48</v>
      </c>
      <c r="B36" s="154">
        <v>45840</v>
      </c>
      <c r="C36" s="161" t="str">
        <f t="shared" si="4"/>
        <v>13:50 - 14:00</v>
      </c>
      <c r="D36" s="161" t="s">
        <v>74</v>
      </c>
      <c r="E36" s="154" t="s">
        <v>49</v>
      </c>
      <c r="F36" s="154" t="s">
        <v>75</v>
      </c>
      <c r="G36" s="232" t="str">
        <f>LEFT(N36, FIND("By ", N36) - 1)</f>
        <v xml:space="preserve">STOCK-CONSTRAINED DESIGN OF IRREGULAR MATERIAL BASED ON GRAPH NEURAL NETWORKS
</v>
      </c>
      <c r="H36" s="232" t="str">
        <f>RIGHT(N36,LEN(N36)-FIND("By ",N36)-2)</f>
        <v>Qinhui Yang, Hua Chai and Philip F. Yuan</v>
      </c>
      <c r="I36" s="233">
        <v>222</v>
      </c>
      <c r="J36" s="119"/>
      <c r="K36" s="55"/>
      <c r="L36" s="103" t="s">
        <v>72</v>
      </c>
      <c r="M36" s="130">
        <v>222</v>
      </c>
      <c r="N36" s="104" t="s">
        <v>81</v>
      </c>
      <c r="O36" s="143"/>
    </row>
    <row r="37" spans="1:16">
      <c r="A37" s="162" t="s">
        <v>48</v>
      </c>
      <c r="B37" s="154">
        <v>45840</v>
      </c>
      <c r="C37" s="161" t="s">
        <v>50</v>
      </c>
      <c r="D37" s="161" t="s">
        <v>82</v>
      </c>
      <c r="E37" s="154" t="s">
        <v>49</v>
      </c>
      <c r="F37" s="154" t="s">
        <v>83</v>
      </c>
      <c r="G37" s="226"/>
      <c r="I37" s="228"/>
      <c r="J37" s="119"/>
      <c r="K37" s="55"/>
      <c r="L37" s="157" t="str">
        <f>C37</f>
        <v>13:10 - 14:00</v>
      </c>
      <c r="M37" s="152"/>
      <c r="N37" s="153" t="str">
        <f>F37</f>
        <v>SUSTAINABLE BUILDING DESIGN PROCESSES</v>
      </c>
      <c r="O37" s="158" t="s">
        <v>84</v>
      </c>
    </row>
    <row r="38" spans="1:16" ht="24">
      <c r="A38" s="162" t="s">
        <v>48</v>
      </c>
      <c r="B38" s="154">
        <v>45840</v>
      </c>
      <c r="C38" s="161" t="str">
        <f t="shared" si="4"/>
        <v>13:10 - 13:20</v>
      </c>
      <c r="D38" s="161" t="s">
        <v>82</v>
      </c>
      <c r="E38" s="154" t="s">
        <v>49</v>
      </c>
      <c r="F38" s="154" t="s">
        <v>83</v>
      </c>
      <c r="G38" s="232" t="str">
        <f>LEFT(N38, FIND("By ", N38) - 1)</f>
        <v xml:space="preserve">DESIGN AND MANUFACTURE OF WASTE TIMBER COMPOSITE PANELS: SUSTAINABLE AND INNOVATIVE USE OF RECYCLED TIMBER
</v>
      </c>
      <c r="H38" s="232" t="str">
        <f>RIGHT(N38,LEN(N38)-FIND("By ",N38)-2)</f>
        <v>Yu Li, Jiapan Sun, Bingbing Fan and Yixuan Liu</v>
      </c>
      <c r="I38" s="233">
        <v>447</v>
      </c>
      <c r="J38" s="119"/>
      <c r="K38" s="55"/>
      <c r="L38" s="103" t="s">
        <v>54</v>
      </c>
      <c r="M38" s="130">
        <v>447</v>
      </c>
      <c r="N38" s="104" t="s">
        <v>85</v>
      </c>
      <c r="O38" s="142"/>
    </row>
    <row r="39" spans="1:16" ht="24">
      <c r="A39" s="162" t="s">
        <v>48</v>
      </c>
      <c r="B39" s="154">
        <v>45840</v>
      </c>
      <c r="C39" s="161" t="str">
        <f t="shared" si="4"/>
        <v>13:20 - 13:30</v>
      </c>
      <c r="D39" s="161" t="s">
        <v>82</v>
      </c>
      <c r="E39" s="154" t="s">
        <v>49</v>
      </c>
      <c r="F39" s="154" t="s">
        <v>83</v>
      </c>
      <c r="G39" s="232" t="str">
        <f>LEFT(N39, FIND("By ", N39) - 1)</f>
        <v xml:space="preserve">FROM CRAFT TO COMMUNITY: PARTICIPATORY UPCYCLING IN PUBLIC HOUSING VIA DIGITAL FABRICATION
</v>
      </c>
      <c r="H39" s="232" t="str">
        <f>RIGHT(N39,LEN(N39)-FIND("By ",N39)-2)</f>
        <v>Patrick So, Boyuan Yu, Jianing Luo, Evan Wu, Zhongding Cui and Provides Ng</v>
      </c>
      <c r="I39" s="233">
        <v>48</v>
      </c>
      <c r="J39" s="119"/>
      <c r="K39" s="55"/>
      <c r="L39" s="103" t="s">
        <v>56</v>
      </c>
      <c r="M39" s="130">
        <v>48</v>
      </c>
      <c r="N39" s="104" t="s">
        <v>86</v>
      </c>
      <c r="O39" s="143"/>
    </row>
    <row r="40" spans="1:16" ht="24">
      <c r="A40" s="162" t="s">
        <v>48</v>
      </c>
      <c r="B40" s="154">
        <v>45840</v>
      </c>
      <c r="C40" s="161" t="str">
        <f t="shared" si="4"/>
        <v>13:30 - 13:40</v>
      </c>
      <c r="D40" s="161" t="s">
        <v>82</v>
      </c>
      <c r="E40" s="154" t="s">
        <v>49</v>
      </c>
      <c r="F40" s="154" t="s">
        <v>83</v>
      </c>
      <c r="G40" s="232" t="str">
        <f>LEFT(N40, FIND("By ", N40) - 1)</f>
        <v xml:space="preserve">MATERIAL REUSE IN HERITAGE CONSERVATION: DEVELOPING A DIGITAL DESIGN-TO-PRODUCTION CIRCULAR WORKFLOW
</v>
      </c>
      <c r="H40" s="232" t="str">
        <f>RIGHT(N40,LEN(N40)-FIND("By ",N40)-2)</f>
        <v>Oceane Durand-Maniclas, Gulnaz Aksenova and Catherine De Wolf</v>
      </c>
      <c r="I40" s="233">
        <v>162</v>
      </c>
      <c r="J40" s="119"/>
      <c r="K40" s="55"/>
      <c r="L40" s="103" t="s">
        <v>58</v>
      </c>
      <c r="M40" s="130">
        <v>162</v>
      </c>
      <c r="N40" s="104" t="s">
        <v>87</v>
      </c>
      <c r="O40" s="143"/>
    </row>
    <row r="41" spans="1:16" ht="24">
      <c r="A41" s="162" t="s">
        <v>48</v>
      </c>
      <c r="B41" s="154">
        <v>45840</v>
      </c>
      <c r="C41" s="161" t="str">
        <f t="shared" si="4"/>
        <v>13:40 - 13:50</v>
      </c>
      <c r="D41" s="161" t="s">
        <v>82</v>
      </c>
      <c r="E41" s="154" t="s">
        <v>49</v>
      </c>
      <c r="F41" s="154" t="s">
        <v>83</v>
      </c>
      <c r="G41" s="232" t="str">
        <f>LEFT(N41, FIND("By ", N41) - 1)</f>
        <v xml:space="preserve">COLLABORATIVE DEVELOPMENT OF EARTHQUAKE-RESISTANT AND VARIABLE 3D PRINTED HOUSING
</v>
      </c>
      <c r="H41" s="232" t="str">
        <f>RIGHT(N41,LEN(N41)-FIND("By ",N41)-2)</f>
        <v>Rodrigo Garcia-Alvarado</v>
      </c>
      <c r="I41" s="233">
        <v>187</v>
      </c>
      <c r="J41" s="119"/>
      <c r="K41" s="55"/>
      <c r="L41" s="103" t="s">
        <v>60</v>
      </c>
      <c r="M41" s="130">
        <v>187</v>
      </c>
      <c r="N41" s="104" t="s">
        <v>88</v>
      </c>
      <c r="O41" s="143"/>
    </row>
    <row r="42" spans="1:16" ht="24">
      <c r="A42" s="162" t="s">
        <v>48</v>
      </c>
      <c r="B42" s="154">
        <v>45840</v>
      </c>
      <c r="C42" s="161" t="str">
        <f t="shared" si="4"/>
        <v>13:50 - 14:00</v>
      </c>
      <c r="D42" s="161" t="s">
        <v>82</v>
      </c>
      <c r="E42" s="154" t="s">
        <v>49</v>
      </c>
      <c r="F42" s="154" t="s">
        <v>83</v>
      </c>
      <c r="G42" s="232" t="str">
        <f>LEFT(N42, FIND("By ", N42) - 1)</f>
        <v xml:space="preserve">BPMN-BASED BUILDING PROJECT LIFECYCLE ANALYSIS WITH A CORE OF BIM: TAKING A CAMPUS PROJECT AS AN EXAMPLE
</v>
      </c>
      <c r="H42" s="232" t="str">
        <f>RIGHT(N42,LEN(N42)-FIND("By ",N42)-2)</f>
        <v>Siwen Cao, Hao Sun and Ziyu Tong</v>
      </c>
      <c r="I42" s="233">
        <v>127</v>
      </c>
      <c r="J42" s="119"/>
      <c r="K42" s="55"/>
      <c r="L42" s="103" t="s">
        <v>72</v>
      </c>
      <c r="M42" s="130">
        <v>127</v>
      </c>
      <c r="N42" s="104" t="s">
        <v>89</v>
      </c>
      <c r="O42" s="143"/>
    </row>
    <row r="43" spans="1:16" s="171" customFormat="1" hidden="1">
      <c r="A43" s="163"/>
      <c r="B43" s="164">
        <v>45840</v>
      </c>
      <c r="C43" s="164" t="str">
        <f>J43</f>
        <v>14:00 - 14:20</v>
      </c>
      <c r="D43" s="165"/>
      <c r="E43" s="164" t="s">
        <v>24</v>
      </c>
      <c r="F43" s="164"/>
      <c r="G43" s="227"/>
      <c r="H43" s="232"/>
      <c r="I43" s="229"/>
      <c r="J43" s="166" t="s">
        <v>90</v>
      </c>
      <c r="K43" s="197" t="s">
        <v>24</v>
      </c>
      <c r="L43" s="168"/>
      <c r="M43" s="172"/>
      <c r="N43" s="173"/>
      <c r="O43" s="173"/>
      <c r="P43" s="170"/>
    </row>
    <row r="44" spans="1:16" s="171" customFormat="1">
      <c r="A44" s="163" t="s">
        <v>91</v>
      </c>
      <c r="B44" s="164">
        <v>45840</v>
      </c>
      <c r="C44" s="164" t="str">
        <f>J44</f>
        <v>14:20 - 15:20</v>
      </c>
      <c r="D44" s="165" t="s">
        <v>92</v>
      </c>
      <c r="E44" s="164" t="s">
        <v>93</v>
      </c>
      <c r="F44" s="164" t="s">
        <v>94</v>
      </c>
      <c r="G44" s="227"/>
      <c r="H44" s="232"/>
      <c r="I44" s="229"/>
      <c r="J44" s="201" t="s">
        <v>95</v>
      </c>
      <c r="K44" s="202" t="str">
        <f>CONCATENATE(E44, ": ", F44)</f>
        <v xml:space="preserve">Special Collection Presentations 1: GENERATING BUILDING LAYOUT </v>
      </c>
      <c r="L44" s="203"/>
      <c r="M44" s="204"/>
      <c r="N44" s="205"/>
      <c r="O44" s="168"/>
      <c r="P44" s="234" t="s">
        <v>96</v>
      </c>
    </row>
    <row r="45" spans="1:16" ht="36">
      <c r="A45" s="162" t="s">
        <v>91</v>
      </c>
      <c r="B45" s="154">
        <v>45840</v>
      </c>
      <c r="C45" s="161" t="str">
        <f t="shared" ref="C45:C48" si="5">L45</f>
        <v>14:20 - 14:35</v>
      </c>
      <c r="D45" s="161" t="s">
        <v>92</v>
      </c>
      <c r="E45" s="154" t="s">
        <v>93</v>
      </c>
      <c r="F45" s="154" t="s">
        <v>94</v>
      </c>
      <c r="G45" s="232" t="str">
        <f>LEFT(N45, FIND("By ", N45) - 1)</f>
        <v xml:space="preserve">STEPWISE GENERATION METHOD FOR COMPETITION-LEVEL FLOOR PLANS OF MEDIUM AND LARGE-SCALE GYMNASIUMS BASED ON RULE CONSTRAINTS AND DIFFUSION MODELS
</v>
      </c>
      <c r="H45" s="232" t="str">
        <f>RIGHT(N45,LEN(N45)-FIND("By ",N45)-2)</f>
        <v>Yufan Meng, Yetong Huang, Zhenyu Wang and Fang Zheng</v>
      </c>
      <c r="I45" s="233">
        <v>126</v>
      </c>
      <c r="J45" s="120"/>
      <c r="K45" s="68"/>
      <c r="L45" s="105" t="s">
        <v>97</v>
      </c>
      <c r="M45" s="131">
        <v>126</v>
      </c>
      <c r="N45" s="106" t="s">
        <v>98</v>
      </c>
      <c r="O45" s="148" t="s">
        <v>99</v>
      </c>
    </row>
    <row r="46" spans="1:16" ht="24">
      <c r="A46" s="162" t="s">
        <v>91</v>
      </c>
      <c r="B46" s="154">
        <v>45840</v>
      </c>
      <c r="C46" s="161" t="str">
        <f t="shared" si="5"/>
        <v>14:35 - 14:50</v>
      </c>
      <c r="D46" s="161" t="s">
        <v>92</v>
      </c>
      <c r="E46" s="154" t="s">
        <v>93</v>
      </c>
      <c r="F46" s="154" t="s">
        <v>94</v>
      </c>
      <c r="G46" s="232" t="str">
        <f>LEFT(N46, FIND("By ", N46) - 1)</f>
        <v xml:space="preserve">FLOOR PLAN AFFORDANCE PREDICTION: IS THE FLOOR PLAN LAYOUT DETERMINED BY ITS OUTLINE OR THE ARCHITECT
</v>
      </c>
      <c r="H46" s="232" t="str">
        <f>RIGHT(N46,LEN(N46)-FIND("By ",N46)-2)</f>
        <v>Martin Bielik, Milan Valasek, Luyang Zhang and Sven Schneider</v>
      </c>
      <c r="I46" s="233">
        <v>134</v>
      </c>
      <c r="J46" s="120"/>
      <c r="K46" s="68"/>
      <c r="L46" s="105" t="s">
        <v>100</v>
      </c>
      <c r="M46" s="131">
        <v>134</v>
      </c>
      <c r="N46" s="107" t="s">
        <v>101</v>
      </c>
      <c r="O46" s="127"/>
    </row>
    <row r="47" spans="1:16" ht="24">
      <c r="A47" s="162" t="s">
        <v>91</v>
      </c>
      <c r="B47" s="154">
        <v>45840</v>
      </c>
      <c r="C47" s="161" t="str">
        <f t="shared" si="5"/>
        <v>14:50 - 15:05</v>
      </c>
      <c r="D47" s="161" t="s">
        <v>92</v>
      </c>
      <c r="E47" s="154" t="s">
        <v>93</v>
      </c>
      <c r="F47" s="154" t="s">
        <v>94</v>
      </c>
      <c r="G47" s="232" t="str">
        <f>LEFT(N47, FIND("By ", N47) - 1)</f>
        <v xml:space="preserve">BRIDGING THE GAP: ENHANCING AI-GENERATED FLOOR PLANS WITH MULTI-MODAL DATA INTEGRATION
</v>
      </c>
      <c r="H47" s="232" t="str">
        <f>RIGHT(N47,LEN(N47)-FIND("By ",N47)-2)</f>
        <v>Martin Bielik, Sven Schneider, Luyang Zhang and Milan Valasek</v>
      </c>
      <c r="I47" s="233">
        <v>135</v>
      </c>
      <c r="J47" s="120"/>
      <c r="K47" s="68"/>
      <c r="L47" s="105" t="s">
        <v>102</v>
      </c>
      <c r="M47" s="131">
        <v>135</v>
      </c>
      <c r="N47" s="107" t="s">
        <v>103</v>
      </c>
      <c r="O47" s="127"/>
    </row>
    <row r="48" spans="1:16" ht="24">
      <c r="A48" s="162" t="s">
        <v>91</v>
      </c>
      <c r="B48" s="154">
        <v>45840</v>
      </c>
      <c r="C48" s="161" t="str">
        <f t="shared" si="5"/>
        <v>15:05 - 15:20</v>
      </c>
      <c r="D48" s="161" t="s">
        <v>92</v>
      </c>
      <c r="E48" s="154" t="s">
        <v>93</v>
      </c>
      <c r="F48" s="154" t="s">
        <v>94</v>
      </c>
      <c r="G48" s="232" t="str">
        <f>LEFT(N48, FIND("By ", N48) - 1)</f>
        <v xml:space="preserve">GENERATING OPEN OFFICE LAYOUTS USING FLEXIBLE ARCHITECTURAL COMPONENTS
</v>
      </c>
      <c r="H48" s="232" t="str">
        <f>RIGHT(N48,LEN(N48)-FIND("By ",N48)-2)</f>
        <v>Sivan Grodsky, Alex Nguyen, Panos Chatzitsakyris, Danut Bidasca, Thanasis Farangas, Andrew Vande Moere and Davide Schaumann</v>
      </c>
      <c r="I48" s="233">
        <v>151</v>
      </c>
      <c r="J48" s="120"/>
      <c r="K48" s="68"/>
      <c r="L48" s="105" t="s">
        <v>104</v>
      </c>
      <c r="M48" s="131">
        <v>151</v>
      </c>
      <c r="N48" s="106" t="s">
        <v>105</v>
      </c>
      <c r="O48" s="141"/>
    </row>
    <row r="49" spans="1:16" s="171" customFormat="1" hidden="1">
      <c r="A49" s="163"/>
      <c r="B49" s="164">
        <v>45840</v>
      </c>
      <c r="C49" s="164" t="str">
        <f>J49</f>
        <v>15:20 - 15:40</v>
      </c>
      <c r="D49" s="165"/>
      <c r="E49" s="164" t="s">
        <v>24</v>
      </c>
      <c r="F49" s="164"/>
      <c r="G49" s="227"/>
      <c r="H49" s="232"/>
      <c r="I49" s="229"/>
      <c r="J49" s="166" t="s">
        <v>106</v>
      </c>
      <c r="K49" s="197" t="s">
        <v>24</v>
      </c>
      <c r="L49" s="168"/>
      <c r="M49" s="172"/>
      <c r="N49" s="173"/>
      <c r="O49" s="173"/>
      <c r="P49" s="170"/>
    </row>
    <row r="50" spans="1:16" s="171" customFormat="1">
      <c r="A50" s="163" t="s">
        <v>91</v>
      </c>
      <c r="B50" s="164">
        <v>45840</v>
      </c>
      <c r="C50" s="164" t="str">
        <f>J50</f>
        <v>15:40 - 16:25</v>
      </c>
      <c r="D50" s="165" t="s">
        <v>107</v>
      </c>
      <c r="E50" s="164" t="s">
        <v>108</v>
      </c>
      <c r="F50" s="164" t="s">
        <v>109</v>
      </c>
      <c r="G50" s="227"/>
      <c r="H50" s="232"/>
      <c r="I50" s="229"/>
      <c r="J50" s="201" t="s">
        <v>110</v>
      </c>
      <c r="K50" s="202" t="str">
        <f>CONCATENATE(E50, ": ", F50)</f>
        <v>Special Collection Presentations 2: AUGMENTING &amp; ADVANCING DESIGN</v>
      </c>
      <c r="L50" s="203"/>
      <c r="M50" s="204"/>
      <c r="N50" s="205"/>
      <c r="O50" s="206" t="s">
        <v>111</v>
      </c>
      <c r="P50" s="170"/>
    </row>
    <row r="51" spans="1:16" ht="24">
      <c r="A51" s="162" t="s">
        <v>91</v>
      </c>
      <c r="B51" s="154">
        <v>45840</v>
      </c>
      <c r="C51" s="161" t="str">
        <f t="shared" ref="C51:C53" si="6">L51</f>
        <v>15:40 - 15:55</v>
      </c>
      <c r="D51" s="161" t="s">
        <v>107</v>
      </c>
      <c r="E51" s="154" t="s">
        <v>108</v>
      </c>
      <c r="F51" s="154" t="s">
        <v>109</v>
      </c>
      <c r="G51" s="232" t="str">
        <f>LEFT(N51, FIND("By ", N51) - 1)</f>
        <v xml:space="preserve">TRANSFORMING ARCHITECTURAL EDUCATION: THE IMPACT OF VR AND AR ON UNDERSTANDING BUILDING ENERGY EFFICIENCY
</v>
      </c>
      <c r="H51" s="232" t="str">
        <f>RIGHT(N51,LEN(N51)-FIND("By ",N51)-2)</f>
        <v>Kifah Alhazzaa and Wei Yan</v>
      </c>
      <c r="I51" s="233">
        <v>33</v>
      </c>
      <c r="J51" s="120"/>
      <c r="K51" s="68"/>
      <c r="L51" s="105" t="s">
        <v>112</v>
      </c>
      <c r="M51" s="131">
        <v>33</v>
      </c>
      <c r="N51" s="106" t="s">
        <v>113</v>
      </c>
      <c r="O51" s="141"/>
    </row>
    <row r="52" spans="1:16" ht="24">
      <c r="A52" s="162" t="s">
        <v>91</v>
      </c>
      <c r="B52" s="154">
        <v>45840</v>
      </c>
      <c r="C52" s="161" t="str">
        <f t="shared" si="6"/>
        <v>15:55 - 16:10</v>
      </c>
      <c r="D52" s="161" t="s">
        <v>107</v>
      </c>
      <c r="E52" s="154" t="s">
        <v>108</v>
      </c>
      <c r="F52" s="154" t="s">
        <v>109</v>
      </c>
      <c r="G52" s="232" t="str">
        <f>LEFT(N52, FIND("By ", N52) - 1)</f>
        <v xml:space="preserve">EVALUATING AUGMENTED REALITY AS A TOOL FOR DEMOCRATIZING BUILT ENVIRONMENT DESIGN
</v>
      </c>
      <c r="H52" s="232" t="str">
        <f>RIGHT(N52,LEN(N52)-FIND("By ",N52)-2)</f>
        <v>Tina Behrouz, Halil Erhan and Elif Sezen Yagmur Kilimci</v>
      </c>
      <c r="I52" s="233">
        <v>426</v>
      </c>
      <c r="J52" s="120"/>
      <c r="K52" s="68"/>
      <c r="L52" s="105" t="s">
        <v>114</v>
      </c>
      <c r="M52" s="131">
        <v>426</v>
      </c>
      <c r="N52" s="107" t="s">
        <v>115</v>
      </c>
      <c r="O52" s="127"/>
      <c r="P52" s="135" t="s">
        <v>116</v>
      </c>
    </row>
    <row r="53" spans="1:16" ht="24">
      <c r="A53" s="162" t="s">
        <v>91</v>
      </c>
      <c r="B53" s="154">
        <v>45840</v>
      </c>
      <c r="C53" s="161" t="str">
        <f t="shared" si="6"/>
        <v>16:10 - 16:25</v>
      </c>
      <c r="D53" s="161" t="s">
        <v>107</v>
      </c>
      <c r="E53" s="154" t="s">
        <v>108</v>
      </c>
      <c r="F53" s="154" t="s">
        <v>109</v>
      </c>
      <c r="G53" s="232" t="str">
        <f>LEFT(N53, FIND("By ", N53) - 1)</f>
        <v xml:space="preserve">OPEN-SOURCE APPROACHES TO INTEGRATING ADVANCED ROBOTIC SYSTEMS IN SUSTAINABLE DESIGN
</v>
      </c>
      <c r="H53" s="232" t="str">
        <f>RIGHT(N53,LEN(N53)-FIND("By ",N53)-2)</f>
        <v>Celso Urroz and Shermeen Yousif</v>
      </c>
      <c r="I53" s="233">
        <v>196</v>
      </c>
      <c r="J53" s="120"/>
      <c r="K53" s="68"/>
      <c r="L53" s="105" t="s">
        <v>117</v>
      </c>
      <c r="M53" s="131">
        <v>196</v>
      </c>
      <c r="N53" s="107" t="s">
        <v>118</v>
      </c>
      <c r="O53" s="127"/>
    </row>
    <row r="54" spans="1:16" s="171" customFormat="1" hidden="1">
      <c r="A54" s="163"/>
      <c r="B54" s="164">
        <v>45840</v>
      </c>
      <c r="C54" s="164" t="str">
        <f t="shared" ref="C54:C56" si="7">J54</f>
        <v>16:25 - 17:00</v>
      </c>
      <c r="D54" s="165"/>
      <c r="E54" s="164" t="s">
        <v>119</v>
      </c>
      <c r="F54" s="164"/>
      <c r="G54" s="227"/>
      <c r="H54" s="232"/>
      <c r="I54" s="229"/>
      <c r="J54" s="166" t="s">
        <v>120</v>
      </c>
      <c r="K54" s="197" t="s">
        <v>119</v>
      </c>
      <c r="L54" s="168"/>
      <c r="M54" s="172"/>
      <c r="N54" s="173"/>
      <c r="O54" s="173"/>
      <c r="P54" s="170"/>
    </row>
    <row r="55" spans="1:16" s="179" customFormat="1">
      <c r="A55" s="163" t="s">
        <v>21</v>
      </c>
      <c r="B55" s="164">
        <v>45840</v>
      </c>
      <c r="C55" s="164" t="str">
        <f t="shared" si="7"/>
        <v>17:00 - 18:00</v>
      </c>
      <c r="D55" s="165"/>
      <c r="E55" s="164" t="s">
        <v>121</v>
      </c>
      <c r="F55" s="164"/>
      <c r="G55" s="227"/>
      <c r="H55" s="232"/>
      <c r="I55" s="229"/>
      <c r="J55" s="174" t="s">
        <v>122</v>
      </c>
      <c r="K55" s="224" t="s">
        <v>121</v>
      </c>
      <c r="L55" s="175"/>
      <c r="M55" s="176"/>
      <c r="N55" s="177"/>
      <c r="O55" s="178"/>
      <c r="P55" s="170"/>
    </row>
    <row r="56" spans="1:16" s="171" customFormat="1">
      <c r="A56" s="163" t="s">
        <v>26</v>
      </c>
      <c r="B56" s="164">
        <v>45840</v>
      </c>
      <c r="C56" s="164" t="str">
        <f t="shared" si="7"/>
        <v>18:00 - 19:00</v>
      </c>
      <c r="D56" s="165" t="s">
        <v>27</v>
      </c>
      <c r="E56" s="164" t="s">
        <v>123</v>
      </c>
      <c r="F56" s="164"/>
      <c r="G56" s="227"/>
      <c r="H56" s="232"/>
      <c r="I56" s="229"/>
      <c r="J56" s="185" t="s">
        <v>124</v>
      </c>
      <c r="K56" s="186" t="s">
        <v>125</v>
      </c>
      <c r="L56" s="187"/>
      <c r="M56" s="188"/>
      <c r="N56" s="189"/>
      <c r="O56" s="173"/>
      <c r="P56" s="170"/>
    </row>
    <row r="57" spans="1:16">
      <c r="G57" s="226"/>
      <c r="I57" s="228"/>
      <c r="J57" s="122"/>
      <c r="K57" s="156"/>
      <c r="M57" s="126"/>
    </row>
    <row r="58" spans="1:16" ht="18.95">
      <c r="B58" s="154">
        <v>45841</v>
      </c>
      <c r="G58" s="226"/>
      <c r="I58" s="228"/>
      <c r="J58" s="123" t="s">
        <v>126</v>
      </c>
      <c r="K58" s="155"/>
      <c r="L58" s="96"/>
      <c r="M58" s="125"/>
      <c r="N58" s="96"/>
      <c r="O58" s="140"/>
    </row>
    <row r="59" spans="1:16" s="171" customFormat="1" hidden="1">
      <c r="A59" s="163"/>
      <c r="B59" s="164">
        <v>45841</v>
      </c>
      <c r="C59" s="164" t="str">
        <f t="shared" ref="C59:C62" si="8">J59</f>
        <v>8:30 - 9:00</v>
      </c>
      <c r="D59" s="165"/>
      <c r="E59" s="164" t="s">
        <v>14</v>
      </c>
      <c r="F59" s="164"/>
      <c r="G59" s="227"/>
      <c r="H59" s="232"/>
      <c r="I59" s="229"/>
      <c r="J59" s="166" t="s">
        <v>15</v>
      </c>
      <c r="K59" s="167" t="s">
        <v>16</v>
      </c>
      <c r="L59" s="168"/>
      <c r="M59" s="172"/>
      <c r="N59" s="173"/>
      <c r="O59" s="173"/>
      <c r="P59" s="170"/>
    </row>
    <row r="60" spans="1:16" s="179" customFormat="1">
      <c r="A60" s="163" t="s">
        <v>21</v>
      </c>
      <c r="B60" s="164">
        <v>45841</v>
      </c>
      <c r="C60" s="164" t="str">
        <f t="shared" si="8"/>
        <v>9:00 - 10:00</v>
      </c>
      <c r="D60" s="165"/>
      <c r="E60" s="164" t="s">
        <v>127</v>
      </c>
      <c r="F60" s="164"/>
      <c r="G60" s="227"/>
      <c r="H60" s="232"/>
      <c r="I60" s="229"/>
      <c r="J60" s="174" t="s">
        <v>128</v>
      </c>
      <c r="K60" s="224" t="s">
        <v>127</v>
      </c>
      <c r="L60" s="175"/>
      <c r="M60" s="176"/>
      <c r="N60" s="177"/>
      <c r="O60" s="178"/>
      <c r="P60" s="170"/>
    </row>
    <row r="61" spans="1:16" s="171" customFormat="1" hidden="1">
      <c r="A61" s="163"/>
      <c r="B61" s="164">
        <v>45841</v>
      </c>
      <c r="C61" s="164" t="str">
        <f t="shared" si="8"/>
        <v>10:00 - 10:10</v>
      </c>
      <c r="D61" s="165"/>
      <c r="E61" s="164" t="s">
        <v>24</v>
      </c>
      <c r="F61" s="164"/>
      <c r="G61" s="227"/>
      <c r="H61" s="232"/>
      <c r="I61" s="229"/>
      <c r="J61" s="166" t="s">
        <v>129</v>
      </c>
      <c r="K61" s="197" t="s">
        <v>24</v>
      </c>
      <c r="L61" s="168"/>
      <c r="M61" s="172"/>
      <c r="N61" s="173"/>
      <c r="O61" s="173"/>
      <c r="P61" s="170"/>
    </row>
    <row r="62" spans="1:16" s="171" customFormat="1">
      <c r="A62" s="163" t="s">
        <v>26</v>
      </c>
      <c r="B62" s="164">
        <v>45841</v>
      </c>
      <c r="C62" s="164" t="str">
        <f t="shared" si="8"/>
        <v>10:10 - 10:30</v>
      </c>
      <c r="D62" s="165" t="s">
        <v>27</v>
      </c>
      <c r="E62" s="164" t="s">
        <v>28</v>
      </c>
      <c r="F62" s="164"/>
      <c r="G62" s="227"/>
      <c r="H62" s="232"/>
      <c r="I62" s="229"/>
      <c r="J62" s="185" t="s">
        <v>130</v>
      </c>
      <c r="K62" s="186" t="s">
        <v>28</v>
      </c>
      <c r="L62" s="187"/>
      <c r="M62" s="188"/>
      <c r="N62" s="189"/>
      <c r="O62" s="173"/>
      <c r="P62" s="170"/>
    </row>
    <row r="63" spans="1:16" s="171" customFormat="1" ht="24">
      <c r="A63" s="163" t="s">
        <v>30</v>
      </c>
      <c r="B63" s="164">
        <v>45841</v>
      </c>
      <c r="C63" s="164" t="str">
        <f>J63</f>
        <v>10:30 - 11:55</v>
      </c>
      <c r="D63" s="165" t="s">
        <v>131</v>
      </c>
      <c r="E63" s="164" t="s">
        <v>132</v>
      </c>
      <c r="F63" s="164" t="s">
        <v>133</v>
      </c>
      <c r="G63" s="227"/>
      <c r="H63" s="232"/>
      <c r="I63" s="229"/>
      <c r="J63" s="190" t="s">
        <v>134</v>
      </c>
      <c r="K63" s="191" t="str">
        <f>CONCATENATE(E63, ": ", F63)</f>
        <v>Speaker-led Presentations 2: URBAN PERCEPTIONS &amp; PATTERNS I</v>
      </c>
      <c r="L63" s="192"/>
      <c r="M63" s="193"/>
      <c r="N63" s="194"/>
      <c r="O63" s="207" t="s">
        <v>135</v>
      </c>
      <c r="P63" s="208"/>
    </row>
    <row r="64" spans="1:16">
      <c r="A64" s="162" t="s">
        <v>30</v>
      </c>
      <c r="B64" s="154">
        <v>45841</v>
      </c>
      <c r="C64" s="154" t="str">
        <f>J63</f>
        <v>10:30 - 11:55</v>
      </c>
      <c r="D64" s="161" t="s">
        <v>131</v>
      </c>
      <c r="E64" s="154" t="s">
        <v>132</v>
      </c>
      <c r="F64" s="154" t="s">
        <v>133</v>
      </c>
      <c r="G64" s="226"/>
      <c r="I64" s="228"/>
      <c r="J64" s="118"/>
      <c r="K64" s="50"/>
      <c r="L64" s="99" t="s">
        <v>136</v>
      </c>
      <c r="M64" s="129"/>
      <c r="N64" s="100" t="s">
        <v>37</v>
      </c>
      <c r="O64" s="127"/>
    </row>
    <row r="65" spans="1:16" ht="36">
      <c r="A65" s="162" t="s">
        <v>30</v>
      </c>
      <c r="B65" s="154">
        <v>45841</v>
      </c>
      <c r="C65" s="161" t="str">
        <f t="shared" ref="C65:C69" si="9">L65</f>
        <v>10:35 - 10:50</v>
      </c>
      <c r="D65" s="161" t="s">
        <v>131</v>
      </c>
      <c r="E65" s="154" t="s">
        <v>132</v>
      </c>
      <c r="F65" s="154" t="s">
        <v>133</v>
      </c>
      <c r="G65" s="232" t="str">
        <f>LEFT(N65, FIND("By ", N65) - 1)</f>
        <v xml:space="preserve">A GRAPH-BASED PREDICTION MODEL FOR SUSTAINABLE URBAN RENEWAL: INTEGRATING GRAPH CONVOLUTIONAL NETWORKS FOR CONCRETE RECYCLING POTENTIAL EVALUATION
</v>
      </c>
      <c r="H65" s="232" t="str">
        <f>RIGHT(N65,LEN(N65)-FIND("By ",N65)-2)</f>
        <v>Haoyang He, Han Li, Wanyu Pei, Shuyang Li and Rudi Stouffs</v>
      </c>
      <c r="I65" s="233">
        <v>148</v>
      </c>
      <c r="J65" s="118"/>
      <c r="K65" s="50"/>
      <c r="L65" s="101" t="s">
        <v>137</v>
      </c>
      <c r="M65" s="129">
        <v>148</v>
      </c>
      <c r="N65" s="102" t="s">
        <v>138</v>
      </c>
      <c r="O65" s="141"/>
    </row>
    <row r="66" spans="1:16" ht="36">
      <c r="A66" s="162" t="s">
        <v>30</v>
      </c>
      <c r="B66" s="154">
        <v>45841</v>
      </c>
      <c r="C66" s="161" t="str">
        <f t="shared" si="9"/>
        <v>10:50 - 11:05</v>
      </c>
      <c r="D66" s="161" t="s">
        <v>131</v>
      </c>
      <c r="E66" s="154" t="s">
        <v>132</v>
      </c>
      <c r="F66" s="154" t="s">
        <v>133</v>
      </c>
      <c r="G66" s="232" t="str">
        <f>LEFT(N66, FIND("By ", N66) - 1)</f>
        <v xml:space="preserve">SHADOW-BASED PATH DETECTION IN RAPIDLY EXPANDING URBAN AREAS: UTILIZING SHADOW DETECTION AND GRAPH-BASED VECTORIZATION TO UNCOVER INFORMAL ROAD NETWORKS IN HIGH-DENSITY SLUM AREAS
</v>
      </c>
      <c r="H66" s="232" t="str">
        <f>RIGHT(N66,LEN(N66)-FIND("By ",N66)-2)</f>
        <v>Angelos Chronis, Oana Taut, Erfan Rezaei Azari, Cheng Hen Chen and Joshua Oates</v>
      </c>
      <c r="I66" s="233">
        <v>55</v>
      </c>
      <c r="J66" s="118"/>
      <c r="K66" s="50"/>
      <c r="L66" s="101" t="s">
        <v>139</v>
      </c>
      <c r="M66" s="129">
        <v>55</v>
      </c>
      <c r="N66" s="102" t="s">
        <v>140</v>
      </c>
      <c r="O66" s="141"/>
    </row>
    <row r="67" spans="1:16" ht="36">
      <c r="A67" s="162" t="s">
        <v>30</v>
      </c>
      <c r="B67" s="154">
        <v>45841</v>
      </c>
      <c r="C67" s="161" t="str">
        <f t="shared" si="9"/>
        <v>11:05 - 11:20</v>
      </c>
      <c r="D67" s="161" t="s">
        <v>131</v>
      </c>
      <c r="E67" s="154" t="s">
        <v>132</v>
      </c>
      <c r="F67" s="154" t="s">
        <v>133</v>
      </c>
      <c r="G67" s="232" t="str">
        <f>LEFT(N67, FIND("By ", N67) - 1)</f>
        <v xml:space="preserve">AN URBAN MORPHOLOGY ANALYSIS FRAMEWORK FOR SYNERGISTIC IMPROVEMENT OF MULTIPLE PERFORMANCE OBJECTIVES: EXEMPLIFIED BY OUTDOOR THERMAL COMFORT AND BUILDING ENERGY EFFICIENCY
</v>
      </c>
      <c r="H67" s="232" t="str">
        <f>RIGHT(N67,LEN(N67)-FIND("By ",N67)-2)</f>
        <v>Minghao Wang, Chi Zhang and Yuchen Qin</v>
      </c>
      <c r="I67" s="233">
        <v>329</v>
      </c>
      <c r="J67" s="118"/>
      <c r="K67" s="50"/>
      <c r="L67" s="101" t="s">
        <v>141</v>
      </c>
      <c r="M67" s="129">
        <v>329</v>
      </c>
      <c r="N67" s="102" t="s">
        <v>142</v>
      </c>
      <c r="O67" s="141"/>
    </row>
    <row r="68" spans="1:16" ht="24">
      <c r="A68" s="162" t="s">
        <v>30</v>
      </c>
      <c r="B68" s="154">
        <v>45841</v>
      </c>
      <c r="C68" s="161" t="str">
        <f t="shared" si="9"/>
        <v>11:20 - 11:35</v>
      </c>
      <c r="D68" s="161" t="s">
        <v>131</v>
      </c>
      <c r="E68" s="154" t="s">
        <v>132</v>
      </c>
      <c r="F68" s="154" t="s">
        <v>133</v>
      </c>
      <c r="G68" s="232" t="str">
        <f>LEFT(N68, FIND("By ", N68) - 1)</f>
        <v xml:space="preserve">DIGITAL DESIGN SUPPORT FOR UAV DELIVERY NOISE REDUCTION STRATEGIES IN HIGH DENSITY URBAN ENVIRONMENTS
</v>
      </c>
      <c r="H68" s="232" t="str">
        <f>RIGHT(N68,LEN(N68)-FIND("By ",N68)-2)</f>
        <v>le zhao , Christiane M. HERR (Regular) , Thomas FISCHER (Regular)</v>
      </c>
      <c r="I68" s="233">
        <v>262</v>
      </c>
      <c r="J68" s="118"/>
      <c r="K68" s="50"/>
      <c r="L68" s="101" t="s">
        <v>143</v>
      </c>
      <c r="M68" s="129">
        <v>262</v>
      </c>
      <c r="N68" s="102" t="s">
        <v>144</v>
      </c>
      <c r="O68" s="141"/>
    </row>
    <row r="69" spans="1:16">
      <c r="A69" s="162" t="s">
        <v>30</v>
      </c>
      <c r="B69" s="154">
        <v>45841</v>
      </c>
      <c r="C69" s="161" t="str">
        <f t="shared" si="9"/>
        <v>11:35 - 11:55</v>
      </c>
      <c r="D69" s="161" t="s">
        <v>131</v>
      </c>
      <c r="E69" s="154" t="s">
        <v>132</v>
      </c>
      <c r="F69" s="154" t="s">
        <v>133</v>
      </c>
      <c r="G69" s="226"/>
      <c r="I69" s="228"/>
      <c r="J69" s="118"/>
      <c r="K69" s="50"/>
      <c r="L69" s="101" t="s">
        <v>145</v>
      </c>
      <c r="M69" s="129"/>
      <c r="N69" s="102" t="s">
        <v>45</v>
      </c>
      <c r="O69" s="141"/>
    </row>
    <row r="70" spans="1:16" s="171" customFormat="1">
      <c r="A70" s="163"/>
      <c r="B70" s="164">
        <v>45841</v>
      </c>
      <c r="C70" s="164" t="str">
        <f t="shared" ref="C70" si="10">J70</f>
        <v>11:55 - 12:45</v>
      </c>
      <c r="D70" s="165"/>
      <c r="E70" s="164" t="s">
        <v>46</v>
      </c>
      <c r="F70" s="164"/>
      <c r="G70" s="227"/>
      <c r="H70" s="232"/>
      <c r="I70" s="229"/>
      <c r="J70" s="166" t="s">
        <v>146</v>
      </c>
      <c r="K70" s="197" t="s">
        <v>46</v>
      </c>
      <c r="L70" s="168"/>
      <c r="M70" s="172"/>
      <c r="N70" s="173"/>
      <c r="O70" s="173"/>
      <c r="P70" s="170"/>
    </row>
    <row r="71" spans="1:16" s="171" customFormat="1" ht="24">
      <c r="A71" s="163" t="s">
        <v>48</v>
      </c>
      <c r="B71" s="164">
        <v>45841</v>
      </c>
      <c r="C71" s="164" t="str">
        <f t="shared" ref="C71" si="11">J71</f>
        <v>12:45 - 13:35</v>
      </c>
      <c r="D71" s="165"/>
      <c r="E71" s="164" t="s">
        <v>147</v>
      </c>
      <c r="F71" s="164"/>
      <c r="G71" s="227"/>
      <c r="H71" s="232"/>
      <c r="I71" s="229"/>
      <c r="J71" s="198" t="s">
        <v>148</v>
      </c>
      <c r="K71" s="199" t="str">
        <f>E71</f>
        <v>Parallel Presentations 2</v>
      </c>
      <c r="L71" s="200"/>
      <c r="M71" s="200"/>
      <c r="N71" s="200"/>
      <c r="O71" s="173"/>
      <c r="P71" s="208"/>
    </row>
    <row r="72" spans="1:16" ht="24">
      <c r="A72" s="162" t="s">
        <v>48</v>
      </c>
      <c r="B72" s="154">
        <v>45841</v>
      </c>
      <c r="C72" s="154" t="s">
        <v>148</v>
      </c>
      <c r="D72" s="161" t="s">
        <v>149</v>
      </c>
      <c r="E72" s="154" t="s">
        <v>147</v>
      </c>
      <c r="F72" s="154" t="s">
        <v>150</v>
      </c>
      <c r="G72" s="226"/>
      <c r="I72" s="228"/>
      <c r="J72" s="119"/>
      <c r="K72" s="55"/>
      <c r="L72" s="157" t="str">
        <f>C72</f>
        <v>12:45 - 13:35</v>
      </c>
      <c r="M72" s="152"/>
      <c r="N72" s="153" t="str">
        <f>F72</f>
        <v>URBAN INFRASTRUCTURE &amp; ENVIRONMENTAL SYSTEMS</v>
      </c>
      <c r="O72" s="151" t="s">
        <v>151</v>
      </c>
      <c r="P72" s="138"/>
    </row>
    <row r="73" spans="1:16" ht="24">
      <c r="A73" s="162" t="s">
        <v>48</v>
      </c>
      <c r="B73" s="154">
        <v>45841</v>
      </c>
      <c r="C73" s="161" t="str">
        <f t="shared" ref="C73:C94" si="12">L73</f>
        <v>12:45 - 12:55</v>
      </c>
      <c r="D73" s="161" t="s">
        <v>149</v>
      </c>
      <c r="E73" s="154" t="s">
        <v>147</v>
      </c>
      <c r="F73" s="154" t="s">
        <v>150</v>
      </c>
      <c r="G73" s="232" t="str">
        <f>LEFT(N73, FIND("By ", N73) - 1)</f>
        <v xml:space="preserve">COMPUTING URBAN TISSUE: LANDSLIDE MITIGATION STRATEGY OF URBAN INFRASTRUCTURE DESIGN
</v>
      </c>
      <c r="H73" s="232" t="str">
        <f>RIGHT(N73,LEN(N73)-FIND("By ",N73)-2)</f>
        <v>Chuheng Tan, Shaopo Huang, Haipeng Zhong and Quan Zhou</v>
      </c>
      <c r="I73" s="233">
        <v>299</v>
      </c>
      <c r="J73" s="119"/>
      <c r="K73" s="55"/>
      <c r="L73" s="103" t="s">
        <v>152</v>
      </c>
      <c r="M73" s="130">
        <v>299</v>
      </c>
      <c r="N73" s="104" t="s">
        <v>153</v>
      </c>
      <c r="O73" s="143"/>
    </row>
    <row r="74" spans="1:16" ht="48">
      <c r="A74" s="162" t="s">
        <v>48</v>
      </c>
      <c r="B74" s="154">
        <v>45841</v>
      </c>
      <c r="C74" s="161" t="str">
        <f t="shared" si="12"/>
        <v>12:55 - 13:05</v>
      </c>
      <c r="D74" s="161" t="s">
        <v>149</v>
      </c>
      <c r="E74" s="154" t="s">
        <v>147</v>
      </c>
      <c r="F74" s="154" t="s">
        <v>150</v>
      </c>
      <c r="G74" s="232" t="str">
        <f>LEFT(N74, FIND("By ", N74) - 1)</f>
        <v xml:space="preserve">SUSTAINABLE SUSTAINABLE SOCIAL BUILDING ASSISTANT (SSOBA): TRANSFORMING ENERGY USE VIA DIGITAL TWINS, ENVIRONMENTAL SENSING AND OCCUPANT BEHAVIOUR CHANGE
</v>
      </c>
      <c r="H74" s="232" t="str">
        <f>RIGHT(N74,LEN(N74)-FIND("By ",N74)-2)</f>
        <v>Frederick Peter Ortner, Sezgi Yalcinkaya Hamarat, Chewon Han, Simon Perrault, Mei Chee Tan, Wei Lek Kwan, Kai Zheng and Praveen Govindarajan</v>
      </c>
      <c r="I74" s="233">
        <v>278</v>
      </c>
      <c r="J74" s="119"/>
      <c r="K74" s="55"/>
      <c r="L74" s="103" t="s">
        <v>154</v>
      </c>
      <c r="M74" s="130">
        <v>278</v>
      </c>
      <c r="N74" s="104" t="s">
        <v>155</v>
      </c>
      <c r="O74" s="143"/>
    </row>
    <row r="75" spans="1:16" ht="24">
      <c r="A75" s="162" t="s">
        <v>48</v>
      </c>
      <c r="B75" s="154">
        <v>45841</v>
      </c>
      <c r="C75" s="161" t="str">
        <f t="shared" si="12"/>
        <v>13:05 - 13:15</v>
      </c>
      <c r="D75" s="161" t="s">
        <v>149</v>
      </c>
      <c r="E75" s="154" t="s">
        <v>147</v>
      </c>
      <c r="F75" s="154" t="s">
        <v>150</v>
      </c>
      <c r="G75" s="232" t="str">
        <f>LEFT(N75, FIND("By ", N75) - 1)</f>
        <v xml:space="preserve">UNDERSTAND URBAN BUILDING ENERGY CONSUMPTION WITH EXPLAINABLE MACHINE LEARNING APPROACHES
</v>
      </c>
      <c r="H75" s="232" t="str">
        <f>RIGHT(N75,LEN(N75)-FIND("By ",N75)-2)</f>
        <v>Hang Xu, Chengxuan Li, Timur Dogan and Patrick Kastner</v>
      </c>
      <c r="I75" s="233">
        <v>29</v>
      </c>
      <c r="J75" s="119"/>
      <c r="K75" s="55"/>
      <c r="L75" s="103" t="s">
        <v>156</v>
      </c>
      <c r="M75" s="130">
        <v>29</v>
      </c>
      <c r="N75" s="104" t="s">
        <v>157</v>
      </c>
      <c r="O75" s="143"/>
    </row>
    <row r="76" spans="1:16" ht="24">
      <c r="A76" s="162" t="s">
        <v>48</v>
      </c>
      <c r="B76" s="154">
        <v>45841</v>
      </c>
      <c r="C76" s="161" t="str">
        <f t="shared" si="12"/>
        <v>13:15 - 13:25</v>
      </c>
      <c r="D76" s="161" t="s">
        <v>149</v>
      </c>
      <c r="E76" s="154" t="s">
        <v>147</v>
      </c>
      <c r="F76" s="154" t="s">
        <v>150</v>
      </c>
      <c r="G76" s="232" t="str">
        <f>LEFT(N76, FIND("By ", N76) - 1)</f>
        <v xml:space="preserve">ENHANCING URBAN VITALITY THROUGH INTERACTIVE XR INSTALLATIONS: FOSTERING ENGAGEMENT AND ENVIRONMENTAL AWARENESS
</v>
      </c>
      <c r="H76" s="232" t="str">
        <f>RIGHT(N76,LEN(N76)-FIND("By ",N76)-2)</f>
        <v>Xiaoxin Lu, Hanzhe Bao and Tiantian Lo</v>
      </c>
      <c r="I76" s="233">
        <v>121</v>
      </c>
      <c r="J76" s="119"/>
      <c r="K76" s="55"/>
      <c r="L76" s="103" t="s">
        <v>158</v>
      </c>
      <c r="M76" s="130">
        <v>121</v>
      </c>
      <c r="N76" s="104" t="s">
        <v>159</v>
      </c>
      <c r="O76" s="143"/>
    </row>
    <row r="77" spans="1:16" ht="36">
      <c r="A77" s="162" t="s">
        <v>48</v>
      </c>
      <c r="B77" s="154">
        <v>45841</v>
      </c>
      <c r="C77" s="161" t="str">
        <f t="shared" si="12"/>
        <v>13:25 - 13:35</v>
      </c>
      <c r="D77" s="161" t="s">
        <v>149</v>
      </c>
      <c r="E77" s="154" t="s">
        <v>147</v>
      </c>
      <c r="F77" s="154" t="s">
        <v>150</v>
      </c>
      <c r="G77" s="232" t="str">
        <f>LEFT(N77, FIND("By ", N77) - 1)</f>
        <v xml:space="preserve">PERFORMANCE-BASED URBAN ENVIRONMENTAL RESTORATION: A MULTI-LAYER CELLULAR AUTOMATA MODEL FOR ECOLOGICAL DESIGN SIMULATION IN HIGH-DENSITY CITIES
</v>
      </c>
      <c r="H77" s="232" t="str">
        <f>RIGHT(N77,LEN(N77)-FIND("By ",N77)-2)</f>
        <v>Yiming Liu and Christiane M. Herr</v>
      </c>
      <c r="I77" s="233">
        <v>71</v>
      </c>
      <c r="J77" s="119"/>
      <c r="K77" s="55"/>
      <c r="L77" s="103" t="s">
        <v>160</v>
      </c>
      <c r="M77" s="130">
        <v>71</v>
      </c>
      <c r="N77" s="104" t="s">
        <v>161</v>
      </c>
      <c r="O77" s="143"/>
    </row>
    <row r="78" spans="1:16">
      <c r="A78" s="162" t="s">
        <v>48</v>
      </c>
      <c r="B78" s="154">
        <v>45841</v>
      </c>
      <c r="C78" s="161" t="s">
        <v>148</v>
      </c>
      <c r="D78" s="161" t="s">
        <v>162</v>
      </c>
      <c r="E78" s="154" t="s">
        <v>147</v>
      </c>
      <c r="F78" s="154" t="s">
        <v>163</v>
      </c>
      <c r="G78" s="226"/>
      <c r="I78" s="228"/>
      <c r="J78" s="119"/>
      <c r="K78" s="55"/>
      <c r="L78" s="157" t="str">
        <f>C78</f>
        <v>12:45 - 13:35</v>
      </c>
      <c r="M78" s="152"/>
      <c r="N78" s="153" t="str">
        <f>F78</f>
        <v>AI FOR DESIGN EVALUATION</v>
      </c>
      <c r="O78" s="142" t="s">
        <v>164</v>
      </c>
    </row>
    <row r="79" spans="1:16" ht="24">
      <c r="A79" s="162" t="s">
        <v>48</v>
      </c>
      <c r="B79" s="154">
        <v>45841</v>
      </c>
      <c r="C79" s="161" t="str">
        <f t="shared" si="12"/>
        <v>12:45 - 12:55</v>
      </c>
      <c r="D79" s="161" t="s">
        <v>162</v>
      </c>
      <c r="E79" s="154" t="s">
        <v>147</v>
      </c>
      <c r="F79" s="154" t="s">
        <v>163</v>
      </c>
      <c r="G79" s="232" t="str">
        <f>LEFT(N79, FIND("By ", N79) - 1)</f>
        <v xml:space="preserve">QUANTIFABLE AND UNQUANTIFABLE MACHINE LEARNING MODEL OR ARCHITECTURAL PREFERENCE PREDICTION BASED ON MBTI
</v>
      </c>
      <c r="H79" s="232" t="str">
        <f>RIGHT(N79,LEN(N79)-FIND("By ",N79)-2)</f>
        <v>Xinhui Xu, Yulu Zhang, Wenxuan Wang, Tinghao Feng, Philip F. Yuan and Zhengcheng He</v>
      </c>
      <c r="I79" s="233">
        <v>45</v>
      </c>
      <c r="J79" s="119"/>
      <c r="K79" s="55"/>
      <c r="L79" s="103" t="s">
        <v>152</v>
      </c>
      <c r="M79" s="130">
        <v>45</v>
      </c>
      <c r="N79" s="104" t="s">
        <v>165</v>
      </c>
      <c r="O79" s="143"/>
    </row>
    <row r="80" spans="1:16" ht="24">
      <c r="A80" s="162" t="s">
        <v>48</v>
      </c>
      <c r="B80" s="154">
        <v>45841</v>
      </c>
      <c r="C80" s="161" t="str">
        <f t="shared" si="12"/>
        <v>12:55 - 13:05</v>
      </c>
      <c r="D80" s="161" t="s">
        <v>162</v>
      </c>
      <c r="E80" s="154" t="s">
        <v>147</v>
      </c>
      <c r="F80" s="154" t="s">
        <v>163</v>
      </c>
      <c r="G80" s="232" t="str">
        <f>LEFT(N80, FIND("By ", N80) - 1)</f>
        <v xml:space="preserve">QUANTIFYING ARCHITECTURAL EXPERIENCE USING VLMS: DOES AI DREAM OF RENDERED SPACES?
</v>
      </c>
      <c r="H80" s="232" t="str">
        <f>RIGHT(N80,LEN(N80)-FIND("By ",N80)-2)</f>
        <v>Gal Guz, Nikolas Martelaro, Gerhard Schubert and Jonathan Dortheimer</v>
      </c>
      <c r="I80" s="233">
        <v>150</v>
      </c>
      <c r="J80" s="119"/>
      <c r="K80" s="55"/>
      <c r="L80" s="103" t="s">
        <v>154</v>
      </c>
      <c r="M80" s="130">
        <v>150</v>
      </c>
      <c r="N80" s="104" t="s">
        <v>166</v>
      </c>
      <c r="O80" s="143"/>
      <c r="P80" s="134" t="s">
        <v>167</v>
      </c>
    </row>
    <row r="81" spans="1:16" ht="24">
      <c r="A81" s="162" t="s">
        <v>48</v>
      </c>
      <c r="B81" s="154">
        <v>45841</v>
      </c>
      <c r="C81" s="161" t="str">
        <f t="shared" si="12"/>
        <v>13:05 - 13:15</v>
      </c>
      <c r="D81" s="161" t="s">
        <v>162</v>
      </c>
      <c r="E81" s="154" t="s">
        <v>147</v>
      </c>
      <c r="F81" s="154" t="s">
        <v>163</v>
      </c>
      <c r="G81" s="232" t="str">
        <f>LEFT(N81, FIND("By ", N81) - 1)</f>
        <v xml:space="preserve">ZERO-SHOT ARCHITECTURAL STYLE CLASSIFICATION WITH LARGE LANGUAGE MODELS
</v>
      </c>
      <c r="H81" s="232" t="str">
        <f>RIGHT(N81,LEN(N81)-FIND("By ",N81)-2)</f>
        <v>Lei Li, Yixin Hao and Runjia Tian</v>
      </c>
      <c r="I81" s="233">
        <v>304</v>
      </c>
      <c r="J81" s="119"/>
      <c r="K81" s="55"/>
      <c r="L81" s="103" t="s">
        <v>156</v>
      </c>
      <c r="M81" s="130">
        <v>304</v>
      </c>
      <c r="N81" s="104" t="s">
        <v>168</v>
      </c>
      <c r="O81" s="143"/>
    </row>
    <row r="82" spans="1:16" ht="24">
      <c r="A82" s="162" t="s">
        <v>48</v>
      </c>
      <c r="B82" s="154">
        <v>45841</v>
      </c>
      <c r="C82" s="161" t="str">
        <f t="shared" si="12"/>
        <v>13:15 - 13:25</v>
      </c>
      <c r="D82" s="161" t="s">
        <v>162</v>
      </c>
      <c r="E82" s="154" t="s">
        <v>147</v>
      </c>
      <c r="F82" s="154" t="s">
        <v>163</v>
      </c>
      <c r="G82" s="232" t="str">
        <f>LEFT(N82, FIND("By ", N82) - 1)</f>
        <v xml:space="preserve">EVALUATION METHOD OF AI-GENERATED ARCHITECTURAL FACADE IMAGES BASED ON DCNN
</v>
      </c>
      <c r="H82" s="232" t="str">
        <f>RIGHT(N82,LEN(N82)-FIND("By ",N82)-2)</f>
        <v>Li Zhang, Jiawei Wang, Zhicheng Wang, Yuetong Wu, Han Li, Qi Zhang and Bo Gao</v>
      </c>
      <c r="I82" s="233">
        <v>456</v>
      </c>
      <c r="J82" s="119"/>
      <c r="K82" s="55"/>
      <c r="L82" s="103" t="s">
        <v>158</v>
      </c>
      <c r="M82" s="130">
        <v>456</v>
      </c>
      <c r="N82" s="104" t="s">
        <v>169</v>
      </c>
      <c r="O82" s="143"/>
    </row>
    <row r="83" spans="1:16" ht="24">
      <c r="A83" s="162" t="s">
        <v>48</v>
      </c>
      <c r="B83" s="154">
        <v>45841</v>
      </c>
      <c r="C83" s="161" t="str">
        <f t="shared" si="12"/>
        <v>13:25 - 13:35</v>
      </c>
      <c r="D83" s="161" t="s">
        <v>162</v>
      </c>
      <c r="E83" s="154" t="s">
        <v>147</v>
      </c>
      <c r="F83" s="154" t="s">
        <v>163</v>
      </c>
      <c r="G83" s="232" t="str">
        <f>LEFT(N83, FIND("By ", N83) - 1)</f>
        <v xml:space="preserve">INTELLIGENT SPATIAL PLANNING: A MULTIDIMENSIONAL STUDY ON SWISS RESIDENTIAL DESIGN USING LARGE LANGUAGE MODEL (GPT-4)
</v>
      </c>
      <c r="H83" s="232" t="str">
        <f>RIGHT(N83,LEN(N83)-FIND("By ",N83)-2)</f>
        <v>Dongming Xu, Weirun Lin, Xinyi Shen, Sherif Eltarabishy and Davis Adam</v>
      </c>
      <c r="I83" s="233">
        <v>59</v>
      </c>
      <c r="J83" s="119"/>
      <c r="K83" s="55"/>
      <c r="L83" s="103" t="s">
        <v>160</v>
      </c>
      <c r="M83" s="130">
        <v>59</v>
      </c>
      <c r="N83" s="104" t="s">
        <v>170</v>
      </c>
      <c r="O83" s="143"/>
    </row>
    <row r="84" spans="1:16" ht="21">
      <c r="A84" s="162" t="s">
        <v>48</v>
      </c>
      <c r="B84" s="154">
        <v>45841</v>
      </c>
      <c r="C84" s="161" t="s">
        <v>148</v>
      </c>
      <c r="D84" s="161" t="s">
        <v>171</v>
      </c>
      <c r="E84" s="154" t="s">
        <v>147</v>
      </c>
      <c r="F84" s="154" t="s">
        <v>172</v>
      </c>
      <c r="G84" s="226"/>
      <c r="I84" s="228"/>
      <c r="J84" s="119"/>
      <c r="K84" s="55"/>
      <c r="L84" s="157" t="str">
        <f>C84</f>
        <v>12:45 - 13:35</v>
      </c>
      <c r="M84" s="152"/>
      <c r="N84" s="153" t="str">
        <f>F84</f>
        <v>STRUCTURAL, FABRICATION &amp; MATERIAL LOGIC</v>
      </c>
      <c r="O84" s="151" t="s">
        <v>173</v>
      </c>
      <c r="P84" s="139"/>
    </row>
    <row r="85" spans="1:16" ht="24">
      <c r="A85" s="162" t="s">
        <v>48</v>
      </c>
      <c r="B85" s="154">
        <v>45841</v>
      </c>
      <c r="C85" s="161" t="str">
        <f t="shared" si="12"/>
        <v>12:45 - 12:55</v>
      </c>
      <c r="D85" s="161" t="s">
        <v>171</v>
      </c>
      <c r="E85" s="154" t="s">
        <v>147</v>
      </c>
      <c r="F85" s="154" t="s">
        <v>172</v>
      </c>
      <c r="G85" s="232" t="str">
        <f>LEFT(N85, FIND("By ", N85) - 1)</f>
        <v xml:space="preserve">ADAPTIVE DESIGN AND FABRICATION OF MODULAR TOPOLOGICAL INTERLOCKING ASSEMBLIES
</v>
      </c>
      <c r="H85" s="232" t="str">
        <f>RIGHT(N85,LEN(N85)-FIND("By ",N85)-2)</f>
        <v>Michail Georgiou and Odysseas Georgiou</v>
      </c>
      <c r="I85" s="233">
        <v>34</v>
      </c>
      <c r="J85" s="119"/>
      <c r="K85" s="55"/>
      <c r="L85" s="103" t="s">
        <v>152</v>
      </c>
      <c r="M85" s="130">
        <v>34</v>
      </c>
      <c r="N85" s="104" t="s">
        <v>174</v>
      </c>
      <c r="O85" s="143"/>
    </row>
    <row r="86" spans="1:16" ht="24">
      <c r="A86" s="162" t="s">
        <v>48</v>
      </c>
      <c r="B86" s="154">
        <v>45841</v>
      </c>
      <c r="C86" s="161" t="str">
        <f t="shared" si="12"/>
        <v>12:55 - 13:05</v>
      </c>
      <c r="D86" s="161" t="s">
        <v>171</v>
      </c>
      <c r="E86" s="154" t="s">
        <v>147</v>
      </c>
      <c r="F86" s="154" t="s">
        <v>172</v>
      </c>
      <c r="G86" s="232" t="str">
        <f>LEFT(N86, FIND("By ", N86) - 1)</f>
        <v xml:space="preserve">ADAPTIVE ORIGAMI: FABRICATION OF PNEUMATIC-ACTUATED ADAPTIVE FOLDING SYSTEM
</v>
      </c>
      <c r="H86" s="232" t="str">
        <f>RIGHT(N86,LEN(N86)-FIND("By ",N86)-2)</f>
        <v>Karagozaiym Turganbek, Sebastian Wimmer, Martin Hutter, Alexander Karaivanov, Nicolaj Kirisits and Zeynep Aksöz-Balzar</v>
      </c>
      <c r="I86" s="233">
        <v>155</v>
      </c>
      <c r="J86" s="119"/>
      <c r="K86" s="55"/>
      <c r="L86" s="103" t="s">
        <v>154</v>
      </c>
      <c r="M86" s="130">
        <v>155</v>
      </c>
      <c r="N86" s="104" t="s">
        <v>175</v>
      </c>
      <c r="O86" s="143"/>
      <c r="P86" s="134" t="s">
        <v>176</v>
      </c>
    </row>
    <row r="87" spans="1:16" ht="24">
      <c r="A87" s="162" t="s">
        <v>48</v>
      </c>
      <c r="B87" s="154">
        <v>45841</v>
      </c>
      <c r="C87" s="161" t="str">
        <f t="shared" si="12"/>
        <v>13:05 - 13:15</v>
      </c>
      <c r="D87" s="161" t="s">
        <v>171</v>
      </c>
      <c r="E87" s="154" t="s">
        <v>147</v>
      </c>
      <c r="F87" s="154" t="s">
        <v>172</v>
      </c>
      <c r="G87" s="232" t="str">
        <f>LEFT(N87, FIND("By ", N87) - 1)</f>
        <v xml:space="preserve">DEVELOPING STRESS-LINE RIBBED TIMBER SLABS: LAMINATING TIMBER RIBS WITH STAY-IN-PLACE FORMWORK
</v>
      </c>
      <c r="H87" s="232" t="str">
        <f>RIGHT(N87,LEN(N87)-FIND("By ",N87)-2)</f>
        <v>Yiting Sun, Hua Chai, Tianyi Gao and Philip F. Yuan</v>
      </c>
      <c r="I87" s="233">
        <v>221</v>
      </c>
      <c r="J87" s="119"/>
      <c r="K87" s="55"/>
      <c r="L87" s="103" t="s">
        <v>156</v>
      </c>
      <c r="M87" s="130">
        <v>221</v>
      </c>
      <c r="N87" s="104" t="s">
        <v>177</v>
      </c>
      <c r="O87" s="143"/>
    </row>
    <row r="88" spans="1:16" ht="24">
      <c r="A88" s="162" t="s">
        <v>48</v>
      </c>
      <c r="B88" s="154">
        <v>45841</v>
      </c>
      <c r="C88" s="161" t="str">
        <f t="shared" si="12"/>
        <v>13:15 - 13:25</v>
      </c>
      <c r="D88" s="161" t="s">
        <v>171</v>
      </c>
      <c r="E88" s="154" t="s">
        <v>147</v>
      </c>
      <c r="F88" s="154" t="s">
        <v>172</v>
      </c>
      <c r="G88" s="232" t="str">
        <f>LEFT(N88, FIND("By ", N88) - 1)</f>
        <v xml:space="preserve">A FABRICATION GRAMMAR FOR ROBOTIC SAND PACKING: FROM PRECISE ACTIONS TO EMERGENT SHAPES AND PATTERNS
</v>
      </c>
      <c r="H88" s="232" t="str">
        <f>RIGHT(N88,LEN(N88)-FIND("By ",N88)-2)</f>
        <v>Kieron Cook and Benay Gursoy</v>
      </c>
      <c r="I88" s="233">
        <v>339</v>
      </c>
      <c r="J88" s="119"/>
      <c r="K88" s="55"/>
      <c r="L88" s="103" t="s">
        <v>158</v>
      </c>
      <c r="M88" s="130">
        <v>339</v>
      </c>
      <c r="N88" s="104" t="s">
        <v>178</v>
      </c>
      <c r="O88" s="143"/>
    </row>
    <row r="89" spans="1:16" ht="24">
      <c r="A89" s="162" t="s">
        <v>48</v>
      </c>
      <c r="B89" s="154">
        <v>45841</v>
      </c>
      <c r="C89" s="161" t="str">
        <f t="shared" si="12"/>
        <v>13:25 - 13:35</v>
      </c>
      <c r="D89" s="161" t="s">
        <v>171</v>
      </c>
      <c r="E89" s="154" t="s">
        <v>147</v>
      </c>
      <c r="F89" s="154" t="s">
        <v>172</v>
      </c>
      <c r="G89" s="232" t="str">
        <f>LEFT(N89, FIND("By ", N89) - 1)</f>
        <v xml:space="preserve">FROM TRADITION TO COMPUTATION: ADAPTIVE CERAMIC FAÇADES INSPIRED BY PERSIAN ICE CAVES (YAKHCHALS)
</v>
      </c>
      <c r="H89" s="232" t="str">
        <f>RIGHT(N89,LEN(N89)-FIND("By ",N89)-2)</f>
        <v>Maryam Badiei, Abolhassan Pishahang and Milad Heiranipour</v>
      </c>
      <c r="I89" s="233">
        <v>408</v>
      </c>
      <c r="J89" s="119"/>
      <c r="K89" s="55"/>
      <c r="L89" s="103" t="s">
        <v>160</v>
      </c>
      <c r="M89" s="130">
        <v>408</v>
      </c>
      <c r="N89" s="104" t="s">
        <v>179</v>
      </c>
      <c r="O89" s="143"/>
    </row>
    <row r="90" spans="1:16">
      <c r="A90" s="162" t="s">
        <v>48</v>
      </c>
      <c r="B90" s="154">
        <v>45841</v>
      </c>
      <c r="C90" s="161" t="s">
        <v>180</v>
      </c>
      <c r="D90" s="161" t="s">
        <v>181</v>
      </c>
      <c r="E90" s="154" t="s">
        <v>147</v>
      </c>
      <c r="F90" s="154" t="s">
        <v>182</v>
      </c>
      <c r="G90" s="226"/>
      <c r="I90" s="228"/>
      <c r="J90" s="119"/>
      <c r="K90" s="55"/>
      <c r="L90" s="157" t="str">
        <f>C90</f>
        <v>12:45 - 13:25</v>
      </c>
      <c r="M90" s="152"/>
      <c r="N90" s="153" t="str">
        <f>F90</f>
        <v>COMMUNITY &amp; COLLECTIVE INTELLIGENCE</v>
      </c>
      <c r="O90" s="147" t="s">
        <v>183</v>
      </c>
    </row>
    <row r="91" spans="1:16" ht="24">
      <c r="A91" s="162" t="s">
        <v>48</v>
      </c>
      <c r="B91" s="154">
        <v>45841</v>
      </c>
      <c r="C91" s="161" t="str">
        <f t="shared" si="12"/>
        <v>12:45 - 12:55</v>
      </c>
      <c r="D91" s="161" t="s">
        <v>181</v>
      </c>
      <c r="E91" s="154" t="s">
        <v>147</v>
      </c>
      <c r="F91" s="154" t="s">
        <v>182</v>
      </c>
      <c r="G91" s="232" t="str">
        <f>LEFT(N91, FIND("By ", N91) - 1)</f>
        <v xml:space="preserve">GAMIFICATION AS A TOOL FOR ENHANCING PUBLIC ENGAGEMENT IN BUILT-ENVIRONMENT DESIGN
</v>
      </c>
      <c r="H91" s="232" t="str">
        <f>RIGHT(N91,LEN(N91)-FIND("By ",N91)-2)</f>
        <v>Mehrun-Nisa Raja, Md Zishaan Khan, Halil Erhan and Tina Bahrouz</v>
      </c>
      <c r="I91" s="233">
        <v>206</v>
      </c>
      <c r="J91" s="119"/>
      <c r="K91" s="55"/>
      <c r="L91" s="103" t="s">
        <v>152</v>
      </c>
      <c r="M91" s="130">
        <v>206</v>
      </c>
      <c r="N91" s="104" t="s">
        <v>184</v>
      </c>
    </row>
    <row r="92" spans="1:16" ht="24">
      <c r="A92" s="162" t="s">
        <v>48</v>
      </c>
      <c r="B92" s="154">
        <v>45841</v>
      </c>
      <c r="C92" s="161" t="str">
        <f t="shared" si="12"/>
        <v>12:55 - 13:05</v>
      </c>
      <c r="D92" s="161" t="s">
        <v>181</v>
      </c>
      <c r="E92" s="154" t="s">
        <v>147</v>
      </c>
      <c r="F92" s="154" t="s">
        <v>182</v>
      </c>
      <c r="G92" s="232" t="str">
        <f>LEFT(N92, FIND("By ", N92) - 1)</f>
        <v xml:space="preserve">ARCHITECTURAL INTERFACES FOR SHARED SPACES – A MULTI-USER PERSPECTIVE ON INTELLIGENT ENVIRONMENT INTERACTIONS
</v>
      </c>
      <c r="H92" s="232" t="str">
        <f>RIGHT(N92,LEN(N92)-FIND("By ",N92)-2)</f>
        <v>Ilayda Memis, Frank Petzold and Gerhard Schubert</v>
      </c>
      <c r="I92" s="233">
        <v>74</v>
      </c>
      <c r="J92" s="119"/>
      <c r="K92" s="55"/>
      <c r="L92" s="103" t="s">
        <v>154</v>
      </c>
      <c r="M92" s="130">
        <v>74</v>
      </c>
      <c r="N92" s="104" t="s">
        <v>185</v>
      </c>
      <c r="O92" s="143"/>
    </row>
    <row r="93" spans="1:16" ht="24">
      <c r="A93" s="162" t="s">
        <v>48</v>
      </c>
      <c r="B93" s="154">
        <v>45841</v>
      </c>
      <c r="C93" s="161" t="str">
        <f t="shared" si="12"/>
        <v>13:05 - 13:15</v>
      </c>
      <c r="D93" s="161" t="s">
        <v>181</v>
      </c>
      <c r="E93" s="154" t="s">
        <v>147</v>
      </c>
      <c r="F93" s="154" t="s">
        <v>182</v>
      </c>
      <c r="G93" s="232" t="str">
        <f>LEFT(N93, FIND("By ", N93) - 1)</f>
        <v xml:space="preserve">CRAFTING A PARTICIPATORY APPROACH TOWARDS TRADITIONAL VIETNAMESE WEAVING AND DIGITAL COMPUTATION
</v>
      </c>
      <c r="H93" s="232" t="str">
        <f>RIGHT(N93,LEN(N93)-FIND("By ",N93)-2)</f>
        <v>Hojung Kim</v>
      </c>
      <c r="I93" s="233">
        <v>137</v>
      </c>
      <c r="J93" s="119"/>
      <c r="K93" s="55"/>
      <c r="L93" s="103" t="s">
        <v>156</v>
      </c>
      <c r="M93" s="130">
        <v>137</v>
      </c>
      <c r="N93" s="104" t="s">
        <v>186</v>
      </c>
      <c r="O93" s="143"/>
    </row>
    <row r="94" spans="1:16" ht="24">
      <c r="A94" s="162" t="s">
        <v>48</v>
      </c>
      <c r="B94" s="154">
        <v>45841</v>
      </c>
      <c r="C94" s="161" t="str">
        <f t="shared" si="12"/>
        <v>13:15 - 13:25</v>
      </c>
      <c r="D94" s="161" t="s">
        <v>181</v>
      </c>
      <c r="E94" s="154" t="s">
        <v>147</v>
      </c>
      <c r="F94" s="154" t="s">
        <v>182</v>
      </c>
      <c r="G94" s="232" t="str">
        <f>LEFT(N94, FIND("By ", N94) - 1)</f>
        <v xml:space="preserve">DESIGN QUALITY HOUSING ASSESSMENT METHODOLOGY: SUPPORTING HEURISTICS WITH EVIDENCE-BASED DECISION-MAKING
</v>
      </c>
      <c r="H94" s="232" t="str">
        <f>RIGHT(N94,LEN(N94)-FIND("By ",N94)-2)</f>
        <v>Darcy Zelenko, Isabel Solin, Jean-Paul Rollo, Sahar Soltani, Camilo Cruz Gambardella and Duncan Maxwell</v>
      </c>
      <c r="I94" s="233">
        <v>180</v>
      </c>
      <c r="J94" s="119"/>
      <c r="K94" s="55"/>
      <c r="L94" s="103" t="s">
        <v>158</v>
      </c>
      <c r="M94" s="130">
        <v>180</v>
      </c>
      <c r="N94" s="104" t="s">
        <v>187</v>
      </c>
      <c r="O94" s="143"/>
    </row>
    <row r="95" spans="1:16" s="171" customFormat="1" hidden="1">
      <c r="A95" s="163"/>
      <c r="B95" s="164">
        <v>45841</v>
      </c>
      <c r="C95" s="164" t="str">
        <f>J95</f>
        <v>13:35 - 13:55</v>
      </c>
      <c r="D95" s="165"/>
      <c r="E95" s="164" t="s">
        <v>24</v>
      </c>
      <c r="F95" s="164"/>
      <c r="G95" s="227"/>
      <c r="H95" s="232"/>
      <c r="I95" s="229"/>
      <c r="J95" s="166" t="s">
        <v>188</v>
      </c>
      <c r="K95" s="197" t="s">
        <v>24</v>
      </c>
      <c r="L95" s="168"/>
      <c r="M95" s="172"/>
      <c r="N95" s="173"/>
      <c r="O95" s="173"/>
      <c r="P95" s="170"/>
    </row>
    <row r="96" spans="1:16" s="171" customFormat="1" ht="15.95">
      <c r="A96" s="163" t="s">
        <v>30</v>
      </c>
      <c r="B96" s="164">
        <v>45841</v>
      </c>
      <c r="C96" s="164" t="str">
        <f>J96</f>
        <v>13:55 - 15:20</v>
      </c>
      <c r="D96" s="165" t="s">
        <v>189</v>
      </c>
      <c r="E96" s="164" t="s">
        <v>190</v>
      </c>
      <c r="F96" s="164" t="s">
        <v>191</v>
      </c>
      <c r="G96" s="227"/>
      <c r="H96" s="232"/>
      <c r="I96" s="229"/>
      <c r="J96" s="190" t="s">
        <v>192</v>
      </c>
      <c r="K96" s="191" t="str">
        <f>CONCATENATE(E96, ": ", F96)</f>
        <v>Speaker-led Presentations 3: MORPHOLOGY ACROSS SCALES</v>
      </c>
      <c r="L96" s="192"/>
      <c r="M96" s="193"/>
      <c r="N96" s="194"/>
      <c r="O96" s="195" t="s">
        <v>193</v>
      </c>
      <c r="P96" s="209"/>
    </row>
    <row r="97" spans="1:16">
      <c r="A97" s="162" t="s">
        <v>30</v>
      </c>
      <c r="B97" s="154">
        <v>45841</v>
      </c>
      <c r="C97" s="154" t="str">
        <f>L97</f>
        <v>13:55 - 14:00</v>
      </c>
      <c r="D97" s="165" t="s">
        <v>189</v>
      </c>
      <c r="E97" s="154" t="s">
        <v>190</v>
      </c>
      <c r="F97" s="154" t="s">
        <v>191</v>
      </c>
      <c r="G97" s="226"/>
      <c r="I97" s="228"/>
      <c r="J97" s="118"/>
      <c r="K97" s="50"/>
      <c r="L97" s="99" t="s">
        <v>194</v>
      </c>
      <c r="M97" s="129"/>
      <c r="N97" s="100" t="s">
        <v>37</v>
      </c>
      <c r="O97" s="127"/>
    </row>
    <row r="98" spans="1:16" ht="24">
      <c r="A98" s="162" t="s">
        <v>30</v>
      </c>
      <c r="B98" s="154">
        <v>45841</v>
      </c>
      <c r="C98" s="161" t="str">
        <f t="shared" ref="C98:C101" si="13">L98</f>
        <v>14:00 - 14:15</v>
      </c>
      <c r="D98" s="165" t="s">
        <v>189</v>
      </c>
      <c r="E98" s="154" t="s">
        <v>190</v>
      </c>
      <c r="F98" s="154" t="s">
        <v>191</v>
      </c>
      <c r="G98" s="232" t="str">
        <f>LEFT(N98, FIND("By ", N98) - 1)</f>
        <v xml:space="preserve">DISCOVERING PARETO-EFFICIENT URBAN NETWORKS THROUGH SHAPE GRAMMAR, MULTI-OBJECTIVE OPTIMISATION AND MACHINE LEARNING
</v>
      </c>
      <c r="H98" s="232" t="str">
        <f>RIGHT(N98,LEN(N98)-FIND("By ",N98)-2)</f>
        <v>Yanran Shan and Kam-Ming Mark Tam</v>
      </c>
      <c r="I98" s="233">
        <v>210</v>
      </c>
      <c r="J98" s="118"/>
      <c r="K98" s="50"/>
      <c r="L98" s="101" t="s">
        <v>195</v>
      </c>
      <c r="M98" s="129">
        <v>210</v>
      </c>
      <c r="N98" s="100" t="s">
        <v>196</v>
      </c>
      <c r="O98" s="141"/>
    </row>
    <row r="99" spans="1:16" ht="24">
      <c r="A99" s="162" t="s">
        <v>30</v>
      </c>
      <c r="B99" s="154">
        <v>45841</v>
      </c>
      <c r="C99" s="161" t="str">
        <f t="shared" si="13"/>
        <v>14:15 - 14:30</v>
      </c>
      <c r="D99" s="165" t="s">
        <v>189</v>
      </c>
      <c r="E99" s="154" t="s">
        <v>190</v>
      </c>
      <c r="F99" s="154" t="s">
        <v>191</v>
      </c>
      <c r="G99" s="232" t="str">
        <f>LEFT(N99, FIND("By ", N99) - 1)</f>
        <v xml:space="preserve">ENCODING PERFORMANCE IN DIGITAL WEAVE DESIGN USING AI AND OPTIMISATION
</v>
      </c>
      <c r="H99" s="232" t="str">
        <f>RIGHT(N99,LEN(N99)-FIND("By ",N99)-2)</f>
        <v>Xinru Li and Kam-Ming Mark Tam</v>
      </c>
      <c r="I99" s="233">
        <v>440</v>
      </c>
      <c r="J99" s="118"/>
      <c r="K99" s="50"/>
      <c r="L99" s="101" t="s">
        <v>197</v>
      </c>
      <c r="M99" s="129">
        <v>440</v>
      </c>
      <c r="N99" s="100" t="s">
        <v>198</v>
      </c>
      <c r="O99" s="127"/>
    </row>
    <row r="100" spans="1:16" ht="24">
      <c r="A100" s="162" t="s">
        <v>30</v>
      </c>
      <c r="B100" s="154">
        <v>45841</v>
      </c>
      <c r="C100" s="161" t="str">
        <f t="shared" si="13"/>
        <v>14:30 - 14:45</v>
      </c>
      <c r="D100" s="165" t="s">
        <v>189</v>
      </c>
      <c r="E100" s="154" t="s">
        <v>190</v>
      </c>
      <c r="F100" s="154" t="s">
        <v>191</v>
      </c>
      <c r="G100" s="232" t="str">
        <f>LEFT(N100, FIND("By ", N100) - 1)</f>
        <v xml:space="preserve">IMPROVING ARCHITECTURAL FORM CLASSIFICATION THROUGH SALINGAROS’ METRICS AND TOPOLOGICAL DATA ANALYSIS
</v>
      </c>
      <c r="H100" s="232" t="str">
        <f>RIGHT(N100,LEN(N100)-FIND("By ",N100)-2)</f>
        <v>Chen-An Lee and June-Hao Hou</v>
      </c>
      <c r="I100" s="233">
        <v>431</v>
      </c>
      <c r="J100" s="118"/>
      <c r="K100" s="50"/>
      <c r="L100" s="101" t="s">
        <v>199</v>
      </c>
      <c r="M100" s="129">
        <v>431</v>
      </c>
      <c r="N100" s="102" t="s">
        <v>200</v>
      </c>
      <c r="O100" s="127"/>
    </row>
    <row r="101" spans="1:16" ht="24">
      <c r="A101" s="162" t="s">
        <v>30</v>
      </c>
      <c r="B101" s="154">
        <v>45841</v>
      </c>
      <c r="C101" s="161" t="str">
        <f t="shared" si="13"/>
        <v>14:45 - 15:00</v>
      </c>
      <c r="D101" s="165" t="s">
        <v>189</v>
      </c>
      <c r="E101" s="154" t="s">
        <v>190</v>
      </c>
      <c r="F101" s="154" t="s">
        <v>191</v>
      </c>
      <c r="G101" s="232" t="str">
        <f>LEFT(N101, FIND("By ", N101) - 1)</f>
        <v xml:space="preserve">GENERATIVE DESIGN FOR COASTAL RESILIENCE: A COMPUTATIONAL APPROACH TO LIVING SHORELINES
</v>
      </c>
      <c r="H101" s="232" t="str">
        <f>RIGHT(N101,LEN(N101)-FIND("By ",N101)-2)</f>
        <v>Michael Dieffenthaller, Hallie Fischman, Christine Angelini and Karla Saldana Ochoa</v>
      </c>
      <c r="I101" s="233">
        <v>314</v>
      </c>
      <c r="J101" s="118"/>
      <c r="K101" s="50"/>
      <c r="L101" s="101" t="s">
        <v>201</v>
      </c>
      <c r="M101" s="129">
        <v>314</v>
      </c>
      <c r="N101" s="102" t="s">
        <v>202</v>
      </c>
      <c r="O101" s="141"/>
    </row>
    <row r="102" spans="1:16">
      <c r="A102" s="162" t="s">
        <v>30</v>
      </c>
      <c r="B102" s="154">
        <v>45841</v>
      </c>
      <c r="D102" s="165" t="s">
        <v>189</v>
      </c>
      <c r="E102" s="154" t="s">
        <v>190</v>
      </c>
      <c r="F102" s="154" t="s">
        <v>191</v>
      </c>
      <c r="G102" s="226"/>
      <c r="I102" s="228"/>
      <c r="J102" s="118"/>
      <c r="K102" s="50"/>
      <c r="L102" s="101" t="s">
        <v>203</v>
      </c>
      <c r="M102" s="129"/>
      <c r="N102" s="102" t="s">
        <v>45</v>
      </c>
      <c r="O102" s="141"/>
    </row>
    <row r="103" spans="1:16" s="171" customFormat="1" hidden="1">
      <c r="A103" s="163"/>
      <c r="B103" s="164">
        <v>45841</v>
      </c>
      <c r="C103" s="164" t="str">
        <f>J103</f>
        <v>15:20 - 15:40</v>
      </c>
      <c r="D103" s="165"/>
      <c r="E103" s="164" t="s">
        <v>24</v>
      </c>
      <c r="F103" s="164"/>
      <c r="G103" s="227"/>
      <c r="H103" s="232"/>
      <c r="I103" s="229"/>
      <c r="J103" s="166" t="s">
        <v>106</v>
      </c>
      <c r="K103" s="197" t="s">
        <v>24</v>
      </c>
      <c r="L103" s="168"/>
      <c r="M103" s="172"/>
      <c r="N103" s="173"/>
      <c r="O103" s="173"/>
      <c r="P103" s="170"/>
    </row>
    <row r="104" spans="1:16" s="171" customFormat="1" ht="21">
      <c r="A104" s="163" t="s">
        <v>91</v>
      </c>
      <c r="B104" s="164">
        <v>45841</v>
      </c>
      <c r="C104" s="165" t="str">
        <f>J104</f>
        <v>15:40 - 16:25</v>
      </c>
      <c r="D104" s="165" t="s">
        <v>204</v>
      </c>
      <c r="E104" s="164" t="s">
        <v>205</v>
      </c>
      <c r="F104" s="164" t="s">
        <v>206</v>
      </c>
      <c r="G104" s="227"/>
      <c r="H104" s="232"/>
      <c r="I104" s="229"/>
      <c r="J104" s="201" t="s">
        <v>110</v>
      </c>
      <c r="K104" s="202" t="str">
        <f>CONCATENATE(E104, ": ", F104)</f>
        <v>Special Collection Presentations 3: URBAN PERCEPTIONS &amp; PATTERNS II</v>
      </c>
      <c r="L104" s="203"/>
      <c r="M104" s="204"/>
      <c r="N104" s="205"/>
      <c r="O104" s="210" t="s">
        <v>207</v>
      </c>
      <c r="P104" s="211"/>
    </row>
    <row r="105" spans="1:16" ht="24">
      <c r="A105" s="162" t="s">
        <v>91</v>
      </c>
      <c r="B105" s="154">
        <v>45841</v>
      </c>
      <c r="C105" s="154" t="str">
        <f>J104</f>
        <v>15:40 - 16:25</v>
      </c>
      <c r="D105" s="161" t="s">
        <v>204</v>
      </c>
      <c r="E105" s="154" t="s">
        <v>205</v>
      </c>
      <c r="F105" s="154" t="s">
        <v>206</v>
      </c>
      <c r="G105" s="232" t="str">
        <f>LEFT(N105, FIND("By ", N105) - 1)</f>
        <v xml:space="preserve">URBAN VISUAL HETEROGENEITY: AN INTELLIGENT APPROACH TO EXAMINING TRAVEL PREFERENCES IN NANJING
</v>
      </c>
      <c r="H105" s="232" t="str">
        <f>RIGHT(N105,LEN(N105)-FIND("By ",N105)-2)</f>
        <v>Zhixian Li</v>
      </c>
      <c r="I105" s="233">
        <v>50</v>
      </c>
      <c r="J105" s="120"/>
      <c r="K105" s="68"/>
      <c r="L105" s="105" t="s">
        <v>112</v>
      </c>
      <c r="M105" s="131">
        <v>50</v>
      </c>
      <c r="N105" s="106" t="s">
        <v>208</v>
      </c>
      <c r="O105" s="141"/>
    </row>
    <row r="106" spans="1:16" ht="36">
      <c r="A106" s="162" t="s">
        <v>91</v>
      </c>
      <c r="B106" s="154">
        <v>45841</v>
      </c>
      <c r="C106" s="161" t="str">
        <f t="shared" ref="C106:C107" si="14">L106</f>
        <v>15:55 - 16:10</v>
      </c>
      <c r="D106" s="161" t="s">
        <v>204</v>
      </c>
      <c r="E106" s="154" t="s">
        <v>205</v>
      </c>
      <c r="F106" s="154" t="s">
        <v>206</v>
      </c>
      <c r="G106" s="232" t="str">
        <f>LEFT(N106, FIND("By ", N106) - 1)</f>
        <v xml:space="preserve">REVEALING THE RELATIONSHIP BETWEEN SITE PLANNING STRATEGIES AND SENTIMENT THROUGH DEEP LEARNING: ENHANCING DATA-DRIVEN ARCHITECTURAL DESIGN STRATEGIES
</v>
      </c>
      <c r="H106" s="232" t="str">
        <f>RIGHT(N106,LEN(N106)-FIND("By ",N106)-2)</f>
        <v>Qian Cao, Weijing Wang and Rudi Stouffs</v>
      </c>
      <c r="I106" s="233">
        <v>198</v>
      </c>
      <c r="J106" s="120"/>
      <c r="K106" s="68"/>
      <c r="L106" s="105" t="s">
        <v>114</v>
      </c>
      <c r="M106" s="131">
        <v>198</v>
      </c>
      <c r="N106" s="107" t="s">
        <v>209</v>
      </c>
      <c r="O106" s="127"/>
    </row>
    <row r="107" spans="1:16" ht="36">
      <c r="A107" s="162" t="s">
        <v>91</v>
      </c>
      <c r="B107" s="154">
        <v>45841</v>
      </c>
      <c r="C107" s="161" t="str">
        <f t="shared" si="14"/>
        <v>16:10 - 16:25</v>
      </c>
      <c r="D107" s="161" t="s">
        <v>204</v>
      </c>
      <c r="E107" s="154" t="s">
        <v>205</v>
      </c>
      <c r="F107" s="154" t="s">
        <v>206</v>
      </c>
      <c r="G107" s="232" t="str">
        <f>LEFT(N107, FIND("By ", N107) - 1)</f>
        <v xml:space="preserve">HOW CHINESE IS CHINATOWN: MEASURING THE RELATIONSHIP BETWEEN GEOGRAPHIC AUTHENTICITY PERCEPTION AND STREETSCAPE FEATURES THROUGH MACHINE LEARNING
</v>
      </c>
      <c r="H107" s="232" t="str">
        <f>RIGHT(N107,LEN(N107)-FIND("By ",N107)-2)</f>
        <v>Zixi Zhang, Wenjing Li and Waishan Qiu</v>
      </c>
      <c r="I107" s="233">
        <v>250</v>
      </c>
      <c r="J107" s="120"/>
      <c r="K107" s="68"/>
      <c r="L107" s="105" t="s">
        <v>117</v>
      </c>
      <c r="M107" s="131">
        <v>250</v>
      </c>
      <c r="N107" s="107" t="s">
        <v>210</v>
      </c>
      <c r="O107" s="127"/>
    </row>
    <row r="108" spans="1:16" s="171" customFormat="1" hidden="1">
      <c r="A108" s="163"/>
      <c r="B108" s="164">
        <v>45841</v>
      </c>
      <c r="C108" s="164" t="str">
        <f>J108</f>
        <v>16:25 - 16:45</v>
      </c>
      <c r="D108" s="165"/>
      <c r="E108" s="164"/>
      <c r="F108" s="164"/>
      <c r="G108" s="227"/>
      <c r="H108" s="232"/>
      <c r="I108" s="229"/>
      <c r="J108" s="166" t="s">
        <v>211</v>
      </c>
      <c r="K108" s="197" t="s">
        <v>24</v>
      </c>
      <c r="L108" s="168"/>
      <c r="M108" s="172"/>
      <c r="N108" s="173"/>
      <c r="O108" s="173"/>
      <c r="P108" s="170"/>
    </row>
    <row r="109" spans="1:16" s="171" customFormat="1" ht="21">
      <c r="A109" s="163" t="s">
        <v>91</v>
      </c>
      <c r="B109" s="164">
        <v>45841</v>
      </c>
      <c r="C109" s="165" t="str">
        <f>J109</f>
        <v>16:45 - 17:45</v>
      </c>
      <c r="D109" s="165" t="s">
        <v>212</v>
      </c>
      <c r="E109" s="164" t="s">
        <v>213</v>
      </c>
      <c r="F109" s="164" t="s">
        <v>172</v>
      </c>
      <c r="G109" s="227"/>
      <c r="H109" s="232"/>
      <c r="I109" s="229"/>
      <c r="J109" s="201" t="s">
        <v>214</v>
      </c>
      <c r="K109" s="202" t="str">
        <f>CONCATENATE(E109, ": ", F109)</f>
        <v>Special Collection Presentations 4: STRUCTURAL, FABRICATION &amp; MATERIAL LOGIC</v>
      </c>
      <c r="L109" s="203"/>
      <c r="M109" s="204"/>
      <c r="N109" s="205"/>
      <c r="O109" s="195" t="s">
        <v>173</v>
      </c>
      <c r="P109" s="212"/>
    </row>
    <row r="110" spans="1:16" ht="24">
      <c r="A110" s="162" t="s">
        <v>91</v>
      </c>
      <c r="B110" s="154">
        <v>45841</v>
      </c>
      <c r="C110" s="154">
        <f>J110</f>
        <v>0</v>
      </c>
      <c r="D110" s="161" t="s">
        <v>212</v>
      </c>
      <c r="E110" s="154" t="s">
        <v>213</v>
      </c>
      <c r="F110" s="154" t="s">
        <v>172</v>
      </c>
      <c r="G110" s="232" t="str">
        <f>LEFT(N110, FIND("By ", N110) - 1)</f>
        <v xml:space="preserve">ROBOTIC FABRICATION AND IN-SITU 3D PRINTING FOR A NATURAL TIMBER-BAMBOO STRUCTURE
</v>
      </c>
      <c r="H110" s="232" t="str">
        <f>RIGHT(N110,LEN(N110)-FIND("By ",N110)-2)</f>
        <v>Haojie Fan, Xinyue Xia, Shunuo Li, Huangyan Zheng, Haoyi Xu and Sining Wang</v>
      </c>
      <c r="I110" s="233">
        <v>132</v>
      </c>
      <c r="J110" s="120"/>
      <c r="K110" s="68"/>
      <c r="L110" s="105" t="s">
        <v>215</v>
      </c>
      <c r="M110" s="131">
        <v>132</v>
      </c>
      <c r="N110" s="106" t="s">
        <v>216</v>
      </c>
      <c r="O110" s="141"/>
    </row>
    <row r="111" spans="1:16" ht="24">
      <c r="A111" s="162" t="s">
        <v>91</v>
      </c>
      <c r="B111" s="154">
        <v>45841</v>
      </c>
      <c r="C111" s="161" t="str">
        <f t="shared" ref="C111:C113" si="15">L111</f>
        <v>17:00 - 17:15</v>
      </c>
      <c r="D111" s="161" t="s">
        <v>212</v>
      </c>
      <c r="E111" s="154" t="s">
        <v>213</v>
      </c>
      <c r="F111" s="154" t="s">
        <v>172</v>
      </c>
      <c r="G111" s="232" t="str">
        <f>LEFT(N111, FIND("By ", N111) - 1)</f>
        <v xml:space="preserve">INVESTIGATING SELF-SHAPING FIBRE COMPOSITES: TUNNING CURING PARAMETERS TO OPTIMISE RESULTING CURVATURE
</v>
      </c>
      <c r="H111" s="232" t="str">
        <f>RIGHT(N111,LEN(N111)-FIND("By ",N111)-2)</f>
        <v>Ariel Yakobi, Eran Sharon and Arielle Blonder</v>
      </c>
      <c r="I111" s="233">
        <v>193</v>
      </c>
      <c r="J111" s="120"/>
      <c r="K111" s="68"/>
      <c r="L111" s="105" t="s">
        <v>217</v>
      </c>
      <c r="M111" s="131">
        <v>193</v>
      </c>
      <c r="N111" s="106" t="s">
        <v>218</v>
      </c>
      <c r="O111" s="141"/>
    </row>
    <row r="112" spans="1:16" ht="36">
      <c r="A112" s="162" t="s">
        <v>91</v>
      </c>
      <c r="B112" s="154">
        <v>45841</v>
      </c>
      <c r="C112" s="161" t="str">
        <f t="shared" si="15"/>
        <v>17:15 - 17:30</v>
      </c>
      <c r="D112" s="161" t="s">
        <v>212</v>
      </c>
      <c r="E112" s="154" t="s">
        <v>213</v>
      </c>
      <c r="F112" s="154" t="s">
        <v>172</v>
      </c>
      <c r="G112" s="232" t="str">
        <f>LEFT(N112, FIND("By ", N112) - 1)</f>
        <v xml:space="preserve">PREDICTING STRESS-STRAIN CHARACTERISTICS OF 3D PRINTED BCC LATTICE STRUCTURES WITH VARIABLE GRID GRADATION USING NEURAL NETWORKS
</v>
      </c>
      <c r="H112" s="232" t="str">
        <f>RIGHT(N112,LEN(N112)-FIND("By ",N112)-2)</f>
        <v>Mahdi Jandaghimeibodi, Mostafa Hosseini Vajari, Morteza Behzadnasab and Soheil Dariushi</v>
      </c>
      <c r="I112" s="233">
        <v>386</v>
      </c>
      <c r="J112" s="120"/>
      <c r="K112" s="68"/>
      <c r="L112" s="105" t="s">
        <v>219</v>
      </c>
      <c r="M112" s="131">
        <v>386</v>
      </c>
      <c r="N112" s="106" t="s">
        <v>220</v>
      </c>
      <c r="O112" s="141"/>
    </row>
    <row r="113" spans="1:16" ht="24">
      <c r="A113" s="162" t="s">
        <v>91</v>
      </c>
      <c r="B113" s="154">
        <v>45841</v>
      </c>
      <c r="C113" s="161" t="str">
        <f t="shared" si="15"/>
        <v>17:30 - 17:45</v>
      </c>
      <c r="D113" s="161" t="s">
        <v>212</v>
      </c>
      <c r="E113" s="154" t="s">
        <v>213</v>
      </c>
      <c r="F113" s="154" t="s">
        <v>172</v>
      </c>
      <c r="G113" s="232" t="str">
        <f>LEFT(N113, FIND("By ", N113) - 1)</f>
        <v xml:space="preserve">CNT FIBER-WOVEN PROTOTYPES: ZERO WEIGHT, INFINITE SPAN
</v>
      </c>
      <c r="H113" s="232" t="str">
        <f>RIGHT(N113,LEN(N113)-FIND("By ",N113)-2)</f>
        <v>Juan Jose Castellon</v>
      </c>
      <c r="I113" s="233">
        <v>178</v>
      </c>
      <c r="J113" s="120"/>
      <c r="K113" s="68"/>
      <c r="L113" s="105" t="s">
        <v>221</v>
      </c>
      <c r="M113" s="131">
        <v>178</v>
      </c>
      <c r="N113" s="106" t="s">
        <v>222</v>
      </c>
      <c r="O113" s="141"/>
      <c r="P113" s="135" t="s">
        <v>223</v>
      </c>
    </row>
    <row r="114" spans="1:16" s="171" customFormat="1">
      <c r="A114" s="163" t="s">
        <v>26</v>
      </c>
      <c r="B114" s="164">
        <v>45841</v>
      </c>
      <c r="C114" s="164" t="str">
        <f>J114</f>
        <v>17:45 - 19:16</v>
      </c>
      <c r="D114" s="165" t="s">
        <v>27</v>
      </c>
      <c r="E114" s="164" t="s">
        <v>123</v>
      </c>
      <c r="F114" s="164"/>
      <c r="G114" s="227"/>
      <c r="H114" s="232"/>
      <c r="I114" s="229"/>
      <c r="J114" s="185" t="s">
        <v>224</v>
      </c>
      <c r="K114" s="186" t="s">
        <v>125</v>
      </c>
      <c r="L114" s="187"/>
      <c r="M114" s="188"/>
      <c r="N114" s="189"/>
      <c r="O114" s="173"/>
      <c r="P114" s="170"/>
    </row>
    <row r="115" spans="1:16">
      <c r="G115" s="226"/>
      <c r="I115" s="228"/>
      <c r="J115" s="122"/>
      <c r="K115" s="156"/>
      <c r="M115" s="126"/>
    </row>
    <row r="116" spans="1:16" ht="18.95">
      <c r="B116" s="154">
        <v>45842</v>
      </c>
      <c r="G116" s="226"/>
      <c r="I116" s="228"/>
      <c r="J116" s="123" t="s">
        <v>225</v>
      </c>
      <c r="K116" s="155"/>
      <c r="L116" s="96"/>
      <c r="M116" s="125"/>
      <c r="N116" s="96"/>
      <c r="O116" s="140"/>
    </row>
    <row r="117" spans="1:16" s="171" customFormat="1" hidden="1">
      <c r="A117" s="163"/>
      <c r="B117" s="164">
        <v>45842</v>
      </c>
      <c r="C117" s="164" t="str">
        <f t="shared" ref="C117:C120" si="16">J117</f>
        <v>8:30 - 9:00</v>
      </c>
      <c r="D117" s="165"/>
      <c r="E117" s="164" t="s">
        <v>14</v>
      </c>
      <c r="F117" s="164"/>
      <c r="G117" s="227"/>
      <c r="H117" s="232"/>
      <c r="I117" s="229"/>
      <c r="J117" s="166" t="s">
        <v>15</v>
      </c>
      <c r="K117" s="167" t="s">
        <v>16</v>
      </c>
      <c r="L117" s="168"/>
      <c r="M117" s="172"/>
      <c r="N117" s="213"/>
      <c r="O117" s="213"/>
      <c r="P117" s="170"/>
    </row>
    <row r="118" spans="1:16" s="179" customFormat="1">
      <c r="A118" s="163" t="s">
        <v>21</v>
      </c>
      <c r="B118" s="164">
        <v>45842</v>
      </c>
      <c r="C118" s="164" t="str">
        <f t="shared" si="16"/>
        <v>9:00 - 10:00</v>
      </c>
      <c r="D118" s="165"/>
      <c r="E118" s="164" t="s">
        <v>226</v>
      </c>
      <c r="F118" s="164"/>
      <c r="G118" s="227"/>
      <c r="H118" s="232"/>
      <c r="I118" s="229"/>
      <c r="J118" s="174" t="s">
        <v>128</v>
      </c>
      <c r="K118" s="224" t="s">
        <v>226</v>
      </c>
      <c r="L118" s="175"/>
      <c r="M118" s="176"/>
      <c r="N118" s="177"/>
      <c r="O118" s="178"/>
      <c r="P118" s="170"/>
    </row>
    <row r="119" spans="1:16" s="171" customFormat="1" hidden="1">
      <c r="A119" s="163"/>
      <c r="B119" s="164">
        <v>45842</v>
      </c>
      <c r="C119" s="164" t="str">
        <f t="shared" si="16"/>
        <v>10:00 - 10:10</v>
      </c>
      <c r="D119" s="165"/>
      <c r="E119" s="164" t="s">
        <v>24</v>
      </c>
      <c r="F119" s="164"/>
      <c r="G119" s="227"/>
      <c r="H119" s="232"/>
      <c r="I119" s="229"/>
      <c r="J119" s="166" t="s">
        <v>129</v>
      </c>
      <c r="K119" s="197" t="s">
        <v>24</v>
      </c>
      <c r="L119" s="168"/>
      <c r="M119" s="172"/>
      <c r="N119" s="213"/>
      <c r="O119" s="213"/>
      <c r="P119" s="170"/>
    </row>
    <row r="120" spans="1:16" s="171" customFormat="1">
      <c r="A120" s="163" t="s">
        <v>26</v>
      </c>
      <c r="B120" s="164">
        <v>45842</v>
      </c>
      <c r="C120" s="164" t="str">
        <f t="shared" si="16"/>
        <v>10:10 - 10:30</v>
      </c>
      <c r="D120" s="165" t="s">
        <v>27</v>
      </c>
      <c r="E120" s="164" t="s">
        <v>28</v>
      </c>
      <c r="F120" s="164"/>
      <c r="G120" s="227"/>
      <c r="H120" s="232"/>
      <c r="I120" s="229"/>
      <c r="J120" s="185" t="s">
        <v>130</v>
      </c>
      <c r="K120" s="186" t="s">
        <v>28</v>
      </c>
      <c r="L120" s="187"/>
      <c r="M120" s="188"/>
      <c r="N120" s="214"/>
      <c r="O120" s="213"/>
      <c r="P120" s="170"/>
    </row>
    <row r="121" spans="1:16" s="171" customFormat="1" ht="21">
      <c r="A121" s="163" t="s">
        <v>30</v>
      </c>
      <c r="B121" s="164">
        <v>45842</v>
      </c>
      <c r="C121" s="164" t="str">
        <f>J121</f>
        <v>10:30 - 11:40</v>
      </c>
      <c r="D121" s="165" t="s">
        <v>227</v>
      </c>
      <c r="E121" s="164" t="s">
        <v>228</v>
      </c>
      <c r="F121" s="164" t="s">
        <v>229</v>
      </c>
      <c r="G121" s="227"/>
      <c r="H121" s="232"/>
      <c r="I121" s="229"/>
      <c r="J121" s="190" t="s">
        <v>230</v>
      </c>
      <c r="K121" s="50" t="str">
        <f>CONCATENATE(E121, ": ", F121)</f>
        <v>Speaker-led Presentations 4: PROMPTING ARCHITECTURE</v>
      </c>
      <c r="L121" s="215"/>
      <c r="M121" s="216"/>
      <c r="N121" s="217"/>
      <c r="O121" s="218" t="s">
        <v>231</v>
      </c>
      <c r="P121" s="212" t="s">
        <v>232</v>
      </c>
    </row>
    <row r="122" spans="1:16">
      <c r="A122" s="162" t="s">
        <v>30</v>
      </c>
      <c r="B122" s="154">
        <v>45842</v>
      </c>
      <c r="C122" s="154" t="str">
        <f>L122</f>
        <v>10:30 - 10:35</v>
      </c>
      <c r="D122" s="161" t="s">
        <v>227</v>
      </c>
      <c r="E122" s="154" t="s">
        <v>228</v>
      </c>
      <c r="F122" s="154" t="s">
        <v>229</v>
      </c>
      <c r="G122" s="226"/>
      <c r="I122" s="228"/>
      <c r="J122" s="118"/>
      <c r="K122" s="50"/>
      <c r="L122" s="99" t="s">
        <v>136</v>
      </c>
      <c r="M122" s="129"/>
      <c r="N122" s="109" t="s">
        <v>37</v>
      </c>
      <c r="O122" s="132"/>
    </row>
    <row r="123" spans="1:16" ht="24">
      <c r="A123" s="162" t="s">
        <v>30</v>
      </c>
      <c r="B123" s="154">
        <v>45842</v>
      </c>
      <c r="C123" s="161" t="str">
        <f t="shared" ref="C123:C126" si="17">L123</f>
        <v>10:35 - 10:50</v>
      </c>
      <c r="D123" s="161" t="s">
        <v>227</v>
      </c>
      <c r="E123" s="154" t="s">
        <v>228</v>
      </c>
      <c r="F123" s="154" t="s">
        <v>229</v>
      </c>
      <c r="G123" s="232" t="str">
        <f>LEFT(N123, FIND("By ", N123) - 1)</f>
        <v xml:space="preserve">INTERACTIVE BIM MODELLING ASSISTANT WITH MULTI-AGENT LLM
</v>
      </c>
      <c r="H123" s="232" t="str">
        <f>RIGHT(N123,LEN(N123)-FIND("By ",N123)-2)</f>
        <v>Chao Tang, Kam-Ming Mark Tam and Christiane Margerita Herr</v>
      </c>
      <c r="I123" s="233">
        <v>444</v>
      </c>
      <c r="J123" s="118"/>
      <c r="K123" s="50"/>
      <c r="L123" s="101" t="s">
        <v>137</v>
      </c>
      <c r="M123" s="129">
        <v>444</v>
      </c>
      <c r="N123" s="102" t="s">
        <v>233</v>
      </c>
      <c r="O123" s="141"/>
    </row>
    <row r="124" spans="1:16" ht="24">
      <c r="A124" s="162" t="s">
        <v>30</v>
      </c>
      <c r="B124" s="154">
        <v>45842</v>
      </c>
      <c r="C124" s="161" t="str">
        <f t="shared" si="17"/>
        <v>10:50 - 11:05</v>
      </c>
      <c r="D124" s="161" t="s">
        <v>227</v>
      </c>
      <c r="E124" s="154" t="s">
        <v>228</v>
      </c>
      <c r="F124" s="154" t="s">
        <v>229</v>
      </c>
      <c r="G124" s="232" t="str">
        <f>LEFT(N124, FIND("By ", N124) - 1)</f>
        <v xml:space="preserve">TEXT-TO-SIHEYUAN: LLM-BASED MULTI-AGENT PROCEDURAL GENERATION SYSTEM OF VERNACULAR ARCHITECTURE IN BEIJING
</v>
      </c>
      <c r="H124" s="232" t="str">
        <f>RIGHT(N124,LEN(N124)-FIND("By ",N124)-2)</f>
        <v>Zixi Zhang, Wenshuo Zhang and Runjia Tian</v>
      </c>
      <c r="I124" s="233">
        <v>403</v>
      </c>
      <c r="J124" s="118"/>
      <c r="K124" s="50"/>
      <c r="L124" s="101" t="s">
        <v>139</v>
      </c>
      <c r="M124" s="129">
        <v>403</v>
      </c>
      <c r="N124" s="109" t="s">
        <v>234</v>
      </c>
      <c r="O124" s="132"/>
    </row>
    <row r="125" spans="1:16" ht="24">
      <c r="A125" s="162" t="s">
        <v>30</v>
      </c>
      <c r="B125" s="154">
        <v>45842</v>
      </c>
      <c r="C125" s="161" t="str">
        <f t="shared" si="17"/>
        <v>11:05 - 11:20</v>
      </c>
      <c r="D125" s="161" t="s">
        <v>227</v>
      </c>
      <c r="E125" s="154" t="s">
        <v>228</v>
      </c>
      <c r="F125" s="154" t="s">
        <v>229</v>
      </c>
      <c r="G125" s="232" t="str">
        <f>LEFT(N125, FIND("By ", N125) - 1)</f>
        <v xml:space="preserve">PROMPT-TO-PRODUCTION: AI-DRIVEN DESIGN AND ROBOTIC FABRICATION FOR RAPIDLY RECONFIGURABLE CIRCULAR TIMBER ASSEMBLIES
</v>
      </c>
      <c r="H125" s="232" t="str">
        <f>RIGHT(N125,LEN(N125)-FIND("By ",N125)-2)</f>
        <v>Nils Opgenorth, Zhenxiang Huang, Jonas Maria Mertens, Hans Jakob Wagner and Achim Menges</v>
      </c>
      <c r="I125" s="233">
        <v>253</v>
      </c>
      <c r="J125" s="118"/>
      <c r="K125" s="50"/>
      <c r="L125" s="101" t="s">
        <v>141</v>
      </c>
      <c r="M125" s="129">
        <v>253</v>
      </c>
      <c r="N125" s="109" t="s">
        <v>235</v>
      </c>
      <c r="O125" s="132"/>
    </row>
    <row r="126" spans="1:16">
      <c r="A126" s="162" t="s">
        <v>30</v>
      </c>
      <c r="B126" s="154">
        <v>45842</v>
      </c>
      <c r="C126" s="161" t="str">
        <f t="shared" si="17"/>
        <v>11:20 - 11:40</v>
      </c>
      <c r="D126" s="161" t="s">
        <v>227</v>
      </c>
      <c r="E126" s="154" t="s">
        <v>228</v>
      </c>
      <c r="F126" s="154" t="s">
        <v>229</v>
      </c>
      <c r="G126" s="226"/>
      <c r="I126" s="228"/>
      <c r="J126" s="118"/>
      <c r="K126" s="50"/>
      <c r="L126" s="101" t="s">
        <v>236</v>
      </c>
      <c r="M126" s="129"/>
      <c r="N126" s="102" t="s">
        <v>45</v>
      </c>
      <c r="O126" s="141"/>
    </row>
    <row r="127" spans="1:16" s="171" customFormat="1" hidden="1">
      <c r="A127" s="163"/>
      <c r="B127" s="164">
        <v>45842</v>
      </c>
      <c r="C127" s="164" t="str">
        <f t="shared" ref="C127" si="18">J127</f>
        <v>11:40 - 12:00</v>
      </c>
      <c r="D127" s="165"/>
      <c r="E127" s="164" t="s">
        <v>24</v>
      </c>
      <c r="F127" s="164"/>
      <c r="G127" s="227"/>
      <c r="H127" s="232"/>
      <c r="I127" s="229"/>
      <c r="J127" s="166" t="s">
        <v>237</v>
      </c>
      <c r="K127" s="197" t="s">
        <v>24</v>
      </c>
      <c r="L127" s="168"/>
      <c r="M127" s="172"/>
      <c r="N127" s="213"/>
      <c r="O127" s="213"/>
      <c r="P127" s="170"/>
    </row>
    <row r="128" spans="1:16" s="171" customFormat="1">
      <c r="A128" s="163" t="s">
        <v>48</v>
      </c>
      <c r="B128" s="164">
        <v>45842</v>
      </c>
      <c r="C128" s="164" t="str">
        <f>J128</f>
        <v>12:00 - 12:50</v>
      </c>
      <c r="D128" s="165" t="s">
        <v>238</v>
      </c>
      <c r="E128" s="164" t="s">
        <v>239</v>
      </c>
      <c r="F128" s="164"/>
      <c r="G128" s="227"/>
      <c r="H128" s="232"/>
      <c r="I128" s="229"/>
      <c r="J128" s="198" t="s">
        <v>240</v>
      </c>
      <c r="K128" s="199" t="str">
        <f>E128</f>
        <v>Parallel Presentations 3</v>
      </c>
      <c r="L128" s="200"/>
      <c r="M128" s="219"/>
      <c r="N128" s="220"/>
      <c r="O128" s="168"/>
      <c r="P128" s="235" t="s">
        <v>241</v>
      </c>
    </row>
    <row r="129" spans="1:16">
      <c r="A129" s="162" t="s">
        <v>48</v>
      </c>
      <c r="B129" s="154">
        <v>45842</v>
      </c>
      <c r="C129" s="154" t="s">
        <v>242</v>
      </c>
      <c r="D129" s="161" t="s">
        <v>238</v>
      </c>
      <c r="E129" s="154" t="s">
        <v>239</v>
      </c>
      <c r="F129" s="154" t="s">
        <v>243</v>
      </c>
      <c r="G129" s="226"/>
      <c r="I129" s="228"/>
      <c r="J129" s="119"/>
      <c r="K129" s="55"/>
      <c r="L129" s="157" t="str">
        <f>C129</f>
        <v>12:00 - 12:40</v>
      </c>
      <c r="M129" s="152"/>
      <c r="N129" s="153" t="str">
        <f>F129</f>
        <v>EVALUATING &amp; EXPANDING AI</v>
      </c>
      <c r="P129" s="235" t="s">
        <v>241</v>
      </c>
    </row>
    <row r="130" spans="1:16" ht="24">
      <c r="A130" s="162" t="s">
        <v>48</v>
      </c>
      <c r="B130" s="154">
        <v>45842</v>
      </c>
      <c r="C130" s="161" t="str">
        <f t="shared" ref="C130:C145" si="19">L130</f>
        <v>12:00 - 12:10</v>
      </c>
      <c r="D130" s="161" t="s">
        <v>238</v>
      </c>
      <c r="E130" s="154" t="s">
        <v>239</v>
      </c>
      <c r="F130" s="154" t="s">
        <v>243</v>
      </c>
      <c r="G130" s="232" t="str">
        <f>LEFT(N130, FIND("By ", N130) - 1)</f>
        <v xml:space="preserve">BRIDGING THE GAP: ENHANCING AI-GENERATED FLOOR PLANS WITH MULTI-MODAL DATA INTEGRATION
</v>
      </c>
      <c r="H130" s="232" t="str">
        <f>RIGHT(N130,LEN(N130)-FIND("By ",N130)-2)</f>
        <v>Martin Bielik, Sven Schneider, Luyang Zhang and Milan Valasek</v>
      </c>
      <c r="I130" s="233">
        <v>135</v>
      </c>
      <c r="J130" s="119"/>
      <c r="K130" s="55"/>
      <c r="L130" s="103" t="s">
        <v>244</v>
      </c>
      <c r="M130" s="130">
        <v>135</v>
      </c>
      <c r="N130" s="104" t="s">
        <v>103</v>
      </c>
      <c r="O130" s="150" t="s">
        <v>207</v>
      </c>
    </row>
    <row r="131" spans="1:16" ht="24">
      <c r="A131" s="162" t="s">
        <v>48</v>
      </c>
      <c r="B131" s="154">
        <v>45842</v>
      </c>
      <c r="C131" s="161" t="str">
        <f t="shared" si="19"/>
        <v xml:space="preserve">12:10 - 12:20 </v>
      </c>
      <c r="D131" s="161" t="s">
        <v>238</v>
      </c>
      <c r="E131" s="154" t="s">
        <v>239</v>
      </c>
      <c r="F131" s="154" t="s">
        <v>243</v>
      </c>
      <c r="G131" s="232" t="str">
        <f>LEFT(N131, FIND("By ", N131) - 1)</f>
        <v xml:space="preserve">AI2D-ARCHITECTURE: A BENCHMARK FOR EVALUATING MULTIMODAL LARGE LANGUAGE MODELS IN ARCHITECTURE
</v>
      </c>
      <c r="H131" s="232" t="str">
        <f>RIGHT(N131,LEN(N131)-FIND("By ",N131)-2)</f>
        <v>Xuyou Yang and Immanuel Koh</v>
      </c>
      <c r="I131" s="233">
        <v>80</v>
      </c>
      <c r="J131" s="119"/>
      <c r="K131" s="55"/>
      <c r="L131" s="103" t="s">
        <v>245</v>
      </c>
      <c r="M131" s="130">
        <v>80</v>
      </c>
      <c r="N131" s="104" t="s">
        <v>246</v>
      </c>
      <c r="O131" s="143"/>
    </row>
    <row r="132" spans="1:16" ht="24">
      <c r="A132" s="162" t="s">
        <v>48</v>
      </c>
      <c r="B132" s="154">
        <v>45842</v>
      </c>
      <c r="C132" s="161" t="str">
        <f t="shared" si="19"/>
        <v>12:20 - 12:30</v>
      </c>
      <c r="D132" s="161" t="s">
        <v>238</v>
      </c>
      <c r="E132" s="154" t="s">
        <v>239</v>
      </c>
      <c r="F132" s="154" t="s">
        <v>243</v>
      </c>
      <c r="G132" s="232" t="str">
        <f>LEFT(N132, FIND("By ", N132) - 1)</f>
        <v xml:space="preserve">COMPARING DIFFERENT BUILDING REPRESENTATIONS FOR READABILITY BY LARGE LANGUAGE MODELS
</v>
      </c>
      <c r="H132" s="232" t="str">
        <f>RIGHT(N132,LEN(N132)-FIND("By ",N132)-2)</f>
        <v>Guy Austern, Moria Schwarz and Boaz Sternfeld</v>
      </c>
      <c r="I132" s="233">
        <v>145</v>
      </c>
      <c r="J132" s="119"/>
      <c r="K132" s="55"/>
      <c r="L132" s="103" t="s">
        <v>247</v>
      </c>
      <c r="M132" s="130">
        <v>145</v>
      </c>
      <c r="N132" s="104" t="s">
        <v>248</v>
      </c>
      <c r="O132" s="143"/>
      <c r="P132" s="134" t="s">
        <v>249</v>
      </c>
    </row>
    <row r="133" spans="1:16" ht="24">
      <c r="A133" s="162" t="s">
        <v>48</v>
      </c>
      <c r="B133" s="154">
        <v>45842</v>
      </c>
      <c r="C133" s="161" t="str">
        <f t="shared" si="19"/>
        <v>12:30 - 12:40</v>
      </c>
      <c r="D133" s="161" t="s">
        <v>238</v>
      </c>
      <c r="E133" s="154" t="s">
        <v>239</v>
      </c>
      <c r="F133" s="154" t="s">
        <v>243</v>
      </c>
      <c r="G133" s="232" t="str">
        <f>LEFT(N133, FIND("By ", N133) - 1)</f>
        <v xml:space="preserve">INTEGRATING REGULATORY COMPLIANCE IN AI-ASSISTED ARCHITECTURAL DESIGN
</v>
      </c>
      <c r="H133" s="232" t="str">
        <f>RIGHT(N133,LEN(N133)-FIND("By ",N133)-2)</f>
        <v>Tinghao Feng, Yulu Zhang, Xinhui Xu, Zhengcheng He, Wenjing Li and Philip F. Yuan</v>
      </c>
      <c r="I133" s="233">
        <v>19</v>
      </c>
      <c r="J133" s="119"/>
      <c r="K133" s="55"/>
      <c r="L133" s="103" t="s">
        <v>250</v>
      </c>
      <c r="M133" s="130">
        <v>19</v>
      </c>
      <c r="N133" s="104" t="s">
        <v>251</v>
      </c>
      <c r="O133" s="143"/>
    </row>
    <row r="134" spans="1:16" ht="36">
      <c r="C134" s="161" t="str">
        <f t="shared" si="19"/>
        <v>12:40 - 12:50</v>
      </c>
      <c r="D134" s="161" t="s">
        <v>238</v>
      </c>
      <c r="E134" s="154" t="s">
        <v>239</v>
      </c>
      <c r="F134" s="154" t="s">
        <v>243</v>
      </c>
      <c r="G134" s="232" t="str">
        <f>LEFT(N134, FIND("By ", N134) - 1)</f>
        <v xml:space="preserve">Augmenting IFC-Based BIM Models for Graph Neural Network Training of Non-Orthogonal Spatial Typologies: A Context-Informed Design Methodology
</v>
      </c>
      <c r="H134" s="232" t="str">
        <f>RIGHT(N134,LEN(N134)-FIND("By ",N134)-2)</f>
        <v>Matthias Hornung, Markus Renner, Diellza Elshani, Mathias Niepert and Thomas Wortmann</v>
      </c>
      <c r="I134" s="233" t="s">
        <v>252</v>
      </c>
      <c r="J134" s="119"/>
      <c r="K134" s="55"/>
      <c r="L134" s="103" t="s">
        <v>253</v>
      </c>
      <c r="M134" s="130" t="s">
        <v>252</v>
      </c>
      <c r="N134" s="104" t="s">
        <v>254</v>
      </c>
      <c r="O134" s="143"/>
    </row>
    <row r="135" spans="1:16">
      <c r="A135" s="162" t="s">
        <v>48</v>
      </c>
      <c r="B135" s="154">
        <v>45842</v>
      </c>
      <c r="C135" s="154" t="s">
        <v>240</v>
      </c>
      <c r="D135" s="161" t="s">
        <v>255</v>
      </c>
      <c r="E135" s="154" t="s">
        <v>239</v>
      </c>
      <c r="F135" s="154" t="s">
        <v>256</v>
      </c>
      <c r="G135" s="226"/>
      <c r="I135" s="228"/>
      <c r="J135" s="119"/>
      <c r="K135" s="55"/>
      <c r="L135" s="157" t="str">
        <f>C135</f>
        <v>12:00 - 12:50</v>
      </c>
      <c r="M135" s="152"/>
      <c r="N135" s="153" t="str">
        <f>F135</f>
        <v>IMMERSIVE LEARNING &amp; DESIGN</v>
      </c>
      <c r="O135" s="146" t="s">
        <v>111</v>
      </c>
    </row>
    <row r="136" spans="1:16" ht="24">
      <c r="A136" s="162" t="s">
        <v>48</v>
      </c>
      <c r="B136" s="154">
        <v>45842</v>
      </c>
      <c r="C136" s="161" t="str">
        <f t="shared" si="19"/>
        <v>12:00 - 12:10</v>
      </c>
      <c r="D136" s="161" t="s">
        <v>255</v>
      </c>
      <c r="E136" s="154" t="s">
        <v>239</v>
      </c>
      <c r="F136" s="154" t="s">
        <v>256</v>
      </c>
      <c r="G136" s="232" t="str">
        <f>LEFT(N136, FIND("By ", N136) - 1)</f>
        <v xml:space="preserve">CAN AI-BASED SUGGESTIONS SUPPORT DESIGNING IN IMMERSIVE ENVIRONMENTS?
</v>
      </c>
      <c r="H136" s="232" t="str">
        <f>RIGHT(N136,LEN(N136)-FIND("By ",N136)-2)</f>
        <v>Tai Shobuya, Yuval Kahlon, Yukiharu Iioka and Haruyuki Fujii</v>
      </c>
      <c r="I136" s="233">
        <v>68</v>
      </c>
      <c r="J136" s="119"/>
      <c r="K136" s="55"/>
      <c r="L136" s="103" t="s">
        <v>244</v>
      </c>
      <c r="M136" s="130">
        <v>68</v>
      </c>
      <c r="N136" s="104" t="s">
        <v>257</v>
      </c>
      <c r="O136" s="143"/>
    </row>
    <row r="137" spans="1:16" ht="24">
      <c r="A137" s="162" t="s">
        <v>48</v>
      </c>
      <c r="B137" s="154">
        <v>45842</v>
      </c>
      <c r="C137" s="161" t="str">
        <f t="shared" si="19"/>
        <v xml:space="preserve">12:10 - 12:20 </v>
      </c>
      <c r="D137" s="161" t="s">
        <v>255</v>
      </c>
      <c r="E137" s="154" t="s">
        <v>239</v>
      </c>
      <c r="F137" s="154" t="s">
        <v>256</v>
      </c>
      <c r="G137" s="232" t="str">
        <f>LEFT(N137, FIND("By ", N137) - 1)</f>
        <v xml:space="preserve">AUGMENTED SCALE PERCEPTION: EXPLORING A FULL-SCALE ARCHITECTURAL EDUCATION APPROACH BASED ON MAR
</v>
      </c>
      <c r="H137" s="232" t="str">
        <f>RIGHT(N137,LEN(N137)-FIND("By ",N137)-2)</f>
        <v>Han Jin, Hao Wang and Ruifeng Tian</v>
      </c>
      <c r="I137" s="233">
        <v>276</v>
      </c>
      <c r="J137" s="119"/>
      <c r="K137" s="55"/>
      <c r="L137" s="103" t="s">
        <v>245</v>
      </c>
      <c r="M137" s="130">
        <v>276</v>
      </c>
      <c r="N137" s="104" t="s">
        <v>258</v>
      </c>
      <c r="O137" s="143"/>
    </row>
    <row r="138" spans="1:16" ht="36">
      <c r="A138" s="162" t="s">
        <v>48</v>
      </c>
      <c r="B138" s="154">
        <v>45842</v>
      </c>
      <c r="C138" s="161" t="str">
        <f t="shared" si="19"/>
        <v>12:20 - 12:30</v>
      </c>
      <c r="D138" s="161" t="s">
        <v>255</v>
      </c>
      <c r="E138" s="154" t="s">
        <v>239</v>
      </c>
      <c r="F138" s="154" t="s">
        <v>256</v>
      </c>
      <c r="G138" s="232" t="str">
        <f>LEFT(N138, FIND("By ", N138) - 1)</f>
        <v xml:space="preserve">VIRTUAL SPACE DESIGN THROUGH PHYSICAL OBJECT RECOGNITION, HOLOLENS-BASED FURNITURE TRACKING AND AI-DRIVEN REAL-TIME LAYOUT GENERATION
</v>
      </c>
      <c r="H138" s="232" t="str">
        <f>RIGHT(N138,LEN(N138)-FIND("By ",N138)-2)</f>
        <v>Wenqian Yang, Anton Savov and Benjamin Dillenguber</v>
      </c>
      <c r="I138" s="233">
        <v>379</v>
      </c>
      <c r="J138" s="119"/>
      <c r="K138" s="55"/>
      <c r="L138" s="103" t="s">
        <v>247</v>
      </c>
      <c r="M138" s="130">
        <v>379</v>
      </c>
      <c r="N138" s="104" t="s">
        <v>259</v>
      </c>
      <c r="O138" s="143"/>
    </row>
    <row r="139" spans="1:16" ht="24">
      <c r="A139" s="162" t="s">
        <v>48</v>
      </c>
      <c r="B139" s="154">
        <v>45842</v>
      </c>
      <c r="C139" s="161" t="str">
        <f t="shared" si="19"/>
        <v>12:30 - 12:40</v>
      </c>
      <c r="D139" s="161" t="s">
        <v>255</v>
      </c>
      <c r="E139" s="154" t="s">
        <v>239</v>
      </c>
      <c r="F139" s="154" t="s">
        <v>256</v>
      </c>
      <c r="G139" s="232" t="str">
        <f>LEFT(N139, FIND("By ", N139) - 1)</f>
        <v xml:space="preserve">A FRAMEWORK FOR VIRTUAL WINDOWS TO ENHANCE INDOOR SPATIAL EXPERIENCE IN EXTENDED REALITY
</v>
      </c>
      <c r="H139" s="232" t="str">
        <f>RIGHT(N139,LEN(N139)-FIND("By ",N139)-2)</f>
        <v>Hyeokjin Choi, Jun Seo Lee, Jae Yeon Shin and Seung Hyun Cha</v>
      </c>
      <c r="I139" s="233">
        <v>428</v>
      </c>
      <c r="J139" s="119"/>
      <c r="K139" s="55"/>
      <c r="L139" s="103" t="s">
        <v>250</v>
      </c>
      <c r="M139" s="130">
        <v>428</v>
      </c>
      <c r="N139" s="104" t="s">
        <v>260</v>
      </c>
      <c r="O139" s="143"/>
    </row>
    <row r="140" spans="1:16" ht="24">
      <c r="A140" s="162" t="s">
        <v>48</v>
      </c>
      <c r="B140" s="154">
        <v>45842</v>
      </c>
      <c r="C140" s="161" t="str">
        <f t="shared" si="19"/>
        <v>12:40 - 12:50</v>
      </c>
      <c r="D140" s="161" t="s">
        <v>255</v>
      </c>
      <c r="E140" s="154" t="s">
        <v>239</v>
      </c>
      <c r="F140" s="154" t="s">
        <v>256</v>
      </c>
      <c r="G140" s="232" t="str">
        <f>LEFT(N140, FIND("By ", N140) - 1)</f>
        <v xml:space="preserve">RESONANT BLECH: EMERGENT SOUNDSCAPES THROUGH HUMAN-AI INTERACTION
</v>
      </c>
      <c r="H140" s="232" t="str">
        <f>RIGHT(N140,LEN(N140)-FIND("By ",N140)-2)</f>
        <v>Alexander Urban, Moritz Koegel, Lukas Fink Pielsticker, Alexander Karaivanov, Nicolaj Kirisits and Zeynep Aksöz Balzar</v>
      </c>
      <c r="I140" s="233">
        <v>111</v>
      </c>
      <c r="J140" s="119"/>
      <c r="K140" s="55"/>
      <c r="L140" s="103" t="s">
        <v>253</v>
      </c>
      <c r="M140" s="130">
        <v>111</v>
      </c>
      <c r="N140" s="104" t="s">
        <v>261</v>
      </c>
      <c r="O140" s="143"/>
      <c r="P140" s="134" t="s">
        <v>262</v>
      </c>
    </row>
    <row r="141" spans="1:16" ht="21">
      <c r="A141" s="162" t="s">
        <v>48</v>
      </c>
      <c r="B141" s="154">
        <v>45842</v>
      </c>
      <c r="C141" s="161" t="s">
        <v>242</v>
      </c>
      <c r="D141" s="161" t="s">
        <v>263</v>
      </c>
      <c r="E141" s="154" t="s">
        <v>239</v>
      </c>
      <c r="F141" s="154" t="s">
        <v>264</v>
      </c>
      <c r="G141" s="226"/>
      <c r="I141" s="228"/>
      <c r="J141" s="119"/>
      <c r="K141" s="55"/>
      <c r="L141" s="157" t="str">
        <f>C141</f>
        <v>12:00 - 12:40</v>
      </c>
      <c r="M141" s="152"/>
      <c r="N141" s="153" t="str">
        <f>F141</f>
        <v>BUILDING ARCHITECTURAL INSIGHTS</v>
      </c>
      <c r="O141" s="149" t="s">
        <v>265</v>
      </c>
      <c r="P141" s="137"/>
    </row>
    <row r="142" spans="1:16" ht="24">
      <c r="A142" s="162" t="s">
        <v>48</v>
      </c>
      <c r="B142" s="154">
        <v>45842</v>
      </c>
      <c r="C142" s="161" t="str">
        <f t="shared" si="19"/>
        <v>12:00 - 12:10</v>
      </c>
      <c r="D142" s="161" t="s">
        <v>263</v>
      </c>
      <c r="E142" s="154" t="s">
        <v>239</v>
      </c>
      <c r="F142" s="154" t="s">
        <v>264</v>
      </c>
      <c r="G142" s="232" t="str">
        <f>LEFT(N142, FIND("By ", N142) - 1)</f>
        <v xml:space="preserve">CONSOLIDATED EMPIRICAL BIO-MATERIAL REPOSITORY
</v>
      </c>
      <c r="H142" s="232" t="str">
        <f>RIGHT(N142,LEN(N142)-FIND("By ",N142)-2)</f>
        <v>M. Hank Haeusler, Azia Carrother and Cristina Ramos Jaime</v>
      </c>
      <c r="I142" s="233">
        <v>79</v>
      </c>
      <c r="J142" s="119"/>
      <c r="K142" s="55"/>
      <c r="L142" s="103" t="s">
        <v>244</v>
      </c>
      <c r="M142" s="130">
        <v>79</v>
      </c>
      <c r="N142" s="104" t="s">
        <v>266</v>
      </c>
      <c r="O142" s="147" t="s">
        <v>267</v>
      </c>
    </row>
    <row r="143" spans="1:16" ht="36">
      <c r="A143" s="162" t="s">
        <v>48</v>
      </c>
      <c r="B143" s="154">
        <v>45842</v>
      </c>
      <c r="C143" s="161" t="str">
        <f t="shared" si="19"/>
        <v xml:space="preserve">12:10 - 12:20 </v>
      </c>
      <c r="D143" s="161" t="s">
        <v>263</v>
      </c>
      <c r="E143" s="154" t="s">
        <v>239</v>
      </c>
      <c r="F143" s="154" t="s">
        <v>264</v>
      </c>
      <c r="G143" s="232" t="str">
        <f>LEFT(N143, FIND("By ", N143) - 1)</f>
        <v xml:space="preserve">GENERATIVE DESIGN INTELLIGENCE: EXTRACTING DESIGN SPECIFIC SUSTAINABILITY INSIGHTS AND MATERIAL METRICS FROM GENERATIVE ARTIFICIAL INTELLIGENCE OUTPUT
</v>
      </c>
      <c r="H143" s="232" t="str">
        <f>RIGHT(N143,LEN(N143)-FIND("By ",N143)-2)</f>
        <v>Richa Gupta and Alexander Htet Kyaw</v>
      </c>
      <c r="I143" s="233">
        <v>313</v>
      </c>
      <c r="J143" s="119"/>
      <c r="K143" s="55"/>
      <c r="L143" s="103" t="s">
        <v>245</v>
      </c>
      <c r="M143" s="130">
        <v>313</v>
      </c>
      <c r="N143" s="104" t="s">
        <v>268</v>
      </c>
      <c r="O143" s="143"/>
      <c r="P143" s="134" t="s">
        <v>269</v>
      </c>
    </row>
    <row r="144" spans="1:16" ht="24">
      <c r="A144" s="162" t="s">
        <v>48</v>
      </c>
      <c r="B144" s="154">
        <v>45842</v>
      </c>
      <c r="C144" s="161" t="str">
        <f t="shared" si="19"/>
        <v>12:20 - 12:30</v>
      </c>
      <c r="D144" s="161" t="s">
        <v>263</v>
      </c>
      <c r="E144" s="154" t="s">
        <v>239</v>
      </c>
      <c r="F144" s="154" t="s">
        <v>264</v>
      </c>
      <c r="G144" s="232" t="str">
        <f>LEFT(N144, FIND("By ", N144) - 1)</f>
        <v xml:space="preserve">ENVIRONMENTAL-DRIVEN DIGITAL FABRICATION: CONTROLLING 3D-PRINTING PARAMETERS WITH DATA FROM CFD SIMULATION
</v>
      </c>
      <c r="H144" s="232" t="str">
        <f>RIGHT(N144,LEN(N144)-FIND("By ",N144)-2)</f>
        <v>Hangchuan Wei, Richard Beckett and Marjan Colletti</v>
      </c>
      <c r="I144" s="233">
        <v>133</v>
      </c>
      <c r="J144" s="119"/>
      <c r="K144" s="55"/>
      <c r="L144" s="103" t="s">
        <v>247</v>
      </c>
      <c r="M144" s="130">
        <v>133</v>
      </c>
      <c r="N144" s="104" t="s">
        <v>270</v>
      </c>
      <c r="O144" s="143"/>
    </row>
    <row r="145" spans="1:16" ht="24">
      <c r="A145" s="162" t="s">
        <v>48</v>
      </c>
      <c r="B145" s="154">
        <v>45842</v>
      </c>
      <c r="C145" s="161" t="str">
        <f t="shared" si="19"/>
        <v>12:30 - 12:40</v>
      </c>
      <c r="D145" s="161" t="s">
        <v>263</v>
      </c>
      <c r="E145" s="154" t="s">
        <v>239</v>
      </c>
      <c r="F145" s="154" t="s">
        <v>264</v>
      </c>
      <c r="G145" s="232" t="str">
        <f>LEFT(N145, FIND("By ", N145) - 1)</f>
        <v xml:space="preserve">OPTIMIZED ACOUSTICS FOR MEETING PODS
</v>
      </c>
      <c r="H145" s="232" t="str">
        <f>RIGHT(N145,LEN(N145)-FIND("By ",N145)-2)</f>
        <v>Giacomo Montiani, Matthias Helmreich and Achilleas Xydis</v>
      </c>
      <c r="I145" s="233">
        <v>395</v>
      </c>
      <c r="J145" s="119"/>
      <c r="K145" s="55"/>
      <c r="L145" s="103" t="s">
        <v>250</v>
      </c>
      <c r="M145" s="130">
        <v>395</v>
      </c>
      <c r="N145" s="104" t="s">
        <v>271</v>
      </c>
      <c r="O145" s="143"/>
    </row>
    <row r="146" spans="1:16" s="171" customFormat="1">
      <c r="A146" s="163"/>
      <c r="B146" s="164">
        <v>45842</v>
      </c>
      <c r="C146" s="164" t="str">
        <f>J146</f>
        <v>12:50 - 13:40</v>
      </c>
      <c r="D146" s="165"/>
      <c r="E146" s="164" t="s">
        <v>46</v>
      </c>
      <c r="F146" s="164"/>
      <c r="G146" s="227"/>
      <c r="H146" s="232"/>
      <c r="I146" s="229"/>
      <c r="J146" s="166" t="s">
        <v>272</v>
      </c>
      <c r="K146" s="197" t="s">
        <v>46</v>
      </c>
      <c r="L146" s="168"/>
      <c r="M146" s="172"/>
      <c r="N146" s="213"/>
      <c r="O146" s="213"/>
      <c r="P146" s="170"/>
    </row>
    <row r="147" spans="1:16" s="171" customFormat="1" ht="21">
      <c r="A147" s="163" t="s">
        <v>30</v>
      </c>
      <c r="B147" s="164">
        <v>45842</v>
      </c>
      <c r="C147" s="164" t="str">
        <f>J146</f>
        <v>12:50 - 13:40</v>
      </c>
      <c r="D147" s="165" t="s">
        <v>273</v>
      </c>
      <c r="E147" s="164" t="s">
        <v>274</v>
      </c>
      <c r="F147" s="164" t="s">
        <v>275</v>
      </c>
      <c r="G147" s="227"/>
      <c r="H147" s="232"/>
      <c r="I147" s="229"/>
      <c r="J147" s="190" t="s">
        <v>276</v>
      </c>
      <c r="K147" s="50" t="str">
        <f>CONCATENATE(E147, ": ", F147)</f>
        <v>Speaker-led Presentations 5: ARCHITECTURAL COMPUTING &amp; REASONING</v>
      </c>
      <c r="L147" s="215"/>
      <c r="M147" s="216"/>
      <c r="N147" s="217"/>
      <c r="O147" s="218" t="s">
        <v>277</v>
      </c>
      <c r="P147" s="221"/>
    </row>
    <row r="148" spans="1:16">
      <c r="A148" s="162" t="s">
        <v>30</v>
      </c>
      <c r="B148" s="154">
        <v>45842</v>
      </c>
      <c r="C148" s="154" t="str">
        <f>L148</f>
        <v>13:40 - 13:45</v>
      </c>
      <c r="D148" s="161" t="s">
        <v>273</v>
      </c>
      <c r="E148" s="154" t="s">
        <v>274</v>
      </c>
      <c r="F148" s="154" t="s">
        <v>275</v>
      </c>
      <c r="G148" s="226"/>
      <c r="I148" s="228"/>
      <c r="J148" s="118"/>
      <c r="K148" s="50"/>
      <c r="L148" s="99" t="s">
        <v>278</v>
      </c>
      <c r="M148" s="129"/>
      <c r="N148" s="109" t="s">
        <v>37</v>
      </c>
      <c r="O148" s="132"/>
    </row>
    <row r="149" spans="1:16" ht="24">
      <c r="A149" s="162" t="s">
        <v>30</v>
      </c>
      <c r="B149" s="154">
        <v>45842</v>
      </c>
      <c r="C149" s="161" t="str">
        <f t="shared" ref="C149:C152" si="20">L149</f>
        <v>13:45 - 14:00</v>
      </c>
      <c r="D149" s="161" t="s">
        <v>273</v>
      </c>
      <c r="E149" s="154" t="s">
        <v>274</v>
      </c>
      <c r="F149" s="154" t="s">
        <v>275</v>
      </c>
      <c r="G149" s="232" t="str">
        <f>LEFT(N149, FIND("By ", N149) - 1)</f>
        <v xml:space="preserve">CONSTRUCTGNN: A GRAPH NEURAL NETWORK FRAMEWORK FOR ADAPTIVE 3D ARCHITECTURAL LAYOUT
</v>
      </c>
      <c r="H149" s="232" t="str">
        <f>RIGHT(N149,LEN(N149)-FIND("By ",N149)-2)</f>
        <v>Quan Zhou, Yize Li, Zejian Li and Immanuel Koh</v>
      </c>
      <c r="I149" s="233">
        <v>114</v>
      </c>
      <c r="J149" s="118"/>
      <c r="K149" s="50"/>
      <c r="L149" s="101" t="s">
        <v>279</v>
      </c>
      <c r="M149" s="129">
        <v>114</v>
      </c>
      <c r="N149" s="102" t="s">
        <v>280</v>
      </c>
      <c r="O149" s="141"/>
    </row>
    <row r="150" spans="1:16" ht="24">
      <c r="A150" s="162" t="s">
        <v>30</v>
      </c>
      <c r="B150" s="154">
        <v>45842</v>
      </c>
      <c r="C150" s="161" t="str">
        <f t="shared" si="20"/>
        <v>14:00 - 14:15</v>
      </c>
      <c r="D150" s="161" t="s">
        <v>273</v>
      </c>
      <c r="E150" s="154" t="s">
        <v>274</v>
      </c>
      <c r="F150" s="154" t="s">
        <v>275</v>
      </c>
      <c r="G150" s="232" t="str">
        <f>LEFT(N150, FIND("By ", N150) - 1)</f>
        <v xml:space="preserve">READING BETWEEN THE LINES: BRIDGING AI AND ARCHITECTURAL KNOWLEDGE IN FLOORPLAN UNDERSTANDING
</v>
      </c>
      <c r="H150" s="232" t="str">
        <f>RIGHT(N150,LEN(N150)-FIND("By ",N150)-2)</f>
        <v>Marija Mateljan, Seyran Khademi and Georg Vrachliotis</v>
      </c>
      <c r="I150" s="233">
        <v>231</v>
      </c>
      <c r="J150" s="118"/>
      <c r="K150" s="50"/>
      <c r="L150" s="101" t="s">
        <v>195</v>
      </c>
      <c r="M150" s="129">
        <v>231</v>
      </c>
      <c r="N150" s="109" t="s">
        <v>281</v>
      </c>
      <c r="O150" s="132"/>
    </row>
    <row r="151" spans="1:16" ht="24">
      <c r="A151" s="162" t="s">
        <v>30</v>
      </c>
      <c r="B151" s="154">
        <v>45842</v>
      </c>
      <c r="C151" s="161" t="str">
        <f t="shared" si="20"/>
        <v>14:15 - 14:30</v>
      </c>
      <c r="D151" s="161" t="s">
        <v>273</v>
      </c>
      <c r="E151" s="154" t="s">
        <v>274</v>
      </c>
      <c r="F151" s="154" t="s">
        <v>275</v>
      </c>
      <c r="G151" s="232" t="str">
        <f>LEFT(N151, FIND("By ", N151) - 1)</f>
        <v xml:space="preserve">COMPUTING BEYOND THE VITRUVIAN CANON: AMBIGUITY AS A CATALYST IN COMPUTATIONAL DESIGN THEORY
</v>
      </c>
      <c r="H151" s="232" t="str">
        <f>RIGHT(N151,LEN(N151)-FIND("By ",N151)-2)</f>
        <v>Hayri Dortdivanlioglu</v>
      </c>
      <c r="I151" s="233">
        <v>230</v>
      </c>
      <c r="J151" s="118"/>
      <c r="K151" s="50"/>
      <c r="L151" s="101" t="s">
        <v>197</v>
      </c>
      <c r="M151" s="129">
        <v>230</v>
      </c>
      <c r="N151" s="109" t="s">
        <v>282</v>
      </c>
      <c r="O151" s="132"/>
    </row>
    <row r="152" spans="1:16">
      <c r="A152" s="162" t="s">
        <v>30</v>
      </c>
      <c r="B152" s="154">
        <v>45842</v>
      </c>
      <c r="C152" s="161" t="str">
        <f t="shared" si="20"/>
        <v>14:30 - 14:50</v>
      </c>
      <c r="D152" s="161" t="s">
        <v>273</v>
      </c>
      <c r="E152" s="154" t="s">
        <v>274</v>
      </c>
      <c r="F152" s="154" t="s">
        <v>275</v>
      </c>
      <c r="G152" s="226"/>
      <c r="I152" s="228"/>
      <c r="J152" s="118"/>
      <c r="K152" s="50"/>
      <c r="L152" s="101" t="s">
        <v>283</v>
      </c>
      <c r="M152" s="129"/>
      <c r="N152" s="102" t="s">
        <v>45</v>
      </c>
      <c r="O152" s="141"/>
    </row>
    <row r="153" spans="1:16" s="171" customFormat="1" hidden="1">
      <c r="A153" s="163"/>
      <c r="B153" s="164">
        <v>45842</v>
      </c>
      <c r="C153" s="164" t="str">
        <f t="shared" ref="C153" si="21">J153</f>
        <v>14:50 - 15:10</v>
      </c>
      <c r="D153" s="165"/>
      <c r="E153" s="164" t="s">
        <v>24</v>
      </c>
      <c r="F153" s="164"/>
      <c r="G153" s="227"/>
      <c r="H153" s="232"/>
      <c r="I153" s="229"/>
      <c r="J153" s="166" t="s">
        <v>284</v>
      </c>
      <c r="K153" s="197" t="s">
        <v>24</v>
      </c>
      <c r="L153" s="168"/>
      <c r="M153" s="172"/>
      <c r="N153" s="213"/>
      <c r="O153" s="213"/>
      <c r="P153" s="170"/>
    </row>
    <row r="154" spans="1:16" s="171" customFormat="1">
      <c r="A154" s="163" t="s">
        <v>26</v>
      </c>
      <c r="B154" s="164">
        <v>45842</v>
      </c>
      <c r="C154" s="164" t="str">
        <f t="shared" ref="C154" si="22">J154</f>
        <v>15:10 - 17:10</v>
      </c>
      <c r="D154" s="165" t="s">
        <v>27</v>
      </c>
      <c r="E154" s="164" t="s">
        <v>285</v>
      </c>
      <c r="F154" s="164"/>
      <c r="G154" s="227"/>
      <c r="H154" s="232"/>
      <c r="I154" s="229"/>
      <c r="J154" s="185" t="s">
        <v>286</v>
      </c>
      <c r="K154" s="186" t="s">
        <v>285</v>
      </c>
      <c r="L154" s="187"/>
      <c r="M154" s="188"/>
      <c r="N154" s="222"/>
      <c r="O154" s="223"/>
      <c r="P154" s="170"/>
    </row>
    <row r="155" spans="1:16" ht="48">
      <c r="A155" s="162" t="s">
        <v>26</v>
      </c>
      <c r="B155" s="154">
        <v>45842</v>
      </c>
      <c r="C155" s="154" t="str">
        <f>L155</f>
        <v>15:10 - 15:30</v>
      </c>
      <c r="D155" s="161" t="s">
        <v>27</v>
      </c>
      <c r="E155" s="154" t="s">
        <v>285</v>
      </c>
      <c r="G155" s="232" t="str">
        <f t="shared" ref="G155:G160" si="23">LEFT(N155, FIND("By ", N155) - 1)</f>
        <v xml:space="preserve">TOWARDS AN INTERDISCIPLINARY ACADEMIA INDUSTRY RESEARCH NEXUS - COLLABORATIVE PATHWAYS TO SUSTAINABLE DIGITAL INNOVATION IN AEC 
</v>
      </c>
      <c r="H155" s="232" t="str">
        <f t="shared" ref="H155:H160" si="24">RIGHT(N155,LEN(N155)-FIND("By ",N155)-2)</f>
        <v>M. Hank Haeusler, Ivana Kuzmanovska, Christopher Bamborough, Mark Burry, Jane Burry, Michael Ostwald, Blair Kuys, Sisi Zlatanova, George Shinkle</v>
      </c>
      <c r="I155" s="233">
        <v>82</v>
      </c>
      <c r="J155" s="117"/>
      <c r="K155" s="39"/>
      <c r="L155" s="98" t="s">
        <v>287</v>
      </c>
      <c r="M155" s="128">
        <v>82</v>
      </c>
      <c r="N155" s="110" t="s">
        <v>288</v>
      </c>
      <c r="O155" s="144"/>
    </row>
    <row r="156" spans="1:16" ht="36">
      <c r="A156" s="162" t="s">
        <v>26</v>
      </c>
      <c r="B156" s="154">
        <v>45842</v>
      </c>
      <c r="C156" s="161" t="str">
        <f t="shared" ref="C156:C160" si="25">L156</f>
        <v>15:30 - 15:50</v>
      </c>
      <c r="D156" s="161" t="s">
        <v>27</v>
      </c>
      <c r="E156" s="154" t="s">
        <v>285</v>
      </c>
      <c r="G156" s="232" t="str">
        <f t="shared" si="23"/>
        <v xml:space="preserve">RETHINKING PARTICIPATORY ARCHITECTURAL DESIGN: HARNESSING IMMERSIVE ENVIRONMENTS &amp; AI FOR FACILITATING DESIGNER-STAKEHOLDER COLLABORATION
</v>
      </c>
      <c r="H156" s="232" t="str">
        <f t="shared" si="24"/>
        <v>Weiheng Hu, Yuval Kahlon, Momoko Nakatani, Haruyuki Fujii</v>
      </c>
      <c r="I156" s="233">
        <v>330</v>
      </c>
      <c r="J156" s="117"/>
      <c r="K156" s="38"/>
      <c r="L156" s="98" t="s">
        <v>289</v>
      </c>
      <c r="M156" s="128">
        <v>330</v>
      </c>
      <c r="N156" s="108" t="s">
        <v>290</v>
      </c>
      <c r="O156" s="132"/>
    </row>
    <row r="157" spans="1:16" ht="24">
      <c r="A157" s="162" t="s">
        <v>26</v>
      </c>
      <c r="B157" s="154">
        <v>45842</v>
      </c>
      <c r="C157" s="161" t="str">
        <f t="shared" si="25"/>
        <v>15:50 - 16:10</v>
      </c>
      <c r="D157" s="161" t="s">
        <v>27</v>
      </c>
      <c r="E157" s="154" t="s">
        <v>285</v>
      </c>
      <c r="G157" s="232" t="str">
        <f t="shared" si="23"/>
        <v xml:space="preserve">FROM AUGMENTATION TO AUTONOMY: HUMAN–XR–ROBOT SYNERGIES IN ADVANCED DESIGN AND CONSTRUCTION
</v>
      </c>
      <c r="H157" s="232" t="str">
        <f t="shared" si="24"/>
        <v>Igor Pantic, Soomeen Hahm, Peter Búš, Zhiyong Dong</v>
      </c>
      <c r="I157" s="233">
        <v>389</v>
      </c>
      <c r="J157" s="117"/>
      <c r="K157" s="38"/>
      <c r="L157" s="98" t="s">
        <v>291</v>
      </c>
      <c r="M157" s="128">
        <v>389</v>
      </c>
      <c r="N157" s="108" t="s">
        <v>292</v>
      </c>
      <c r="O157" s="132"/>
    </row>
    <row r="158" spans="1:16" ht="36">
      <c r="A158" s="162" t="s">
        <v>26</v>
      </c>
      <c r="B158" s="154">
        <v>45842</v>
      </c>
      <c r="C158" s="161" t="str">
        <f t="shared" si="25"/>
        <v>16:10 - 16:30</v>
      </c>
      <c r="D158" s="161" t="s">
        <v>27</v>
      </c>
      <c r="E158" s="154" t="s">
        <v>285</v>
      </c>
      <c r="G158" s="232" t="str">
        <f t="shared" si="23"/>
        <v xml:space="preserve">TOWARDS AIXR: DESIGNING A FRAMEWORK FOR AI-INFORMED HUMAN-ROBOT COLLABORATIVE ASSEMBLY OF NONUNIFORM MATERIAL IN EXTENDED REALITY 
</v>
      </c>
      <c r="H158" s="232" t="str">
        <f t="shared" si="24"/>
        <v>Matias del Campo, Joseph Kenny, Eleni Vasiliki Alexi, Sandra Manninger, Dr. Daniela Mitterberger</v>
      </c>
      <c r="I158" s="233">
        <v>427</v>
      </c>
      <c r="J158" s="117"/>
      <c r="K158" s="38"/>
      <c r="L158" s="98" t="s">
        <v>293</v>
      </c>
      <c r="M158" s="128">
        <v>427</v>
      </c>
      <c r="N158" s="108" t="s">
        <v>294</v>
      </c>
      <c r="O158" s="132"/>
      <c r="P158" s="135" t="s">
        <v>295</v>
      </c>
    </row>
    <row r="159" spans="1:16" ht="36">
      <c r="A159" s="162" t="s">
        <v>26</v>
      </c>
      <c r="B159" s="154">
        <v>45842</v>
      </c>
      <c r="C159" s="161" t="str">
        <f t="shared" si="25"/>
        <v>16:30 - 16:50</v>
      </c>
      <c r="D159" s="161" t="s">
        <v>27</v>
      </c>
      <c r="E159" s="154" t="s">
        <v>285</v>
      </c>
      <c r="G159" s="232" t="str">
        <f t="shared" si="23"/>
        <v xml:space="preserve">BUILDINGS AS SYMBIOTIC SYSTEMS: CYBERNETIC ADAPTATION BETWEEN TECHNICAL AND BIOLOGICAL SYSTEMS IN ARCHITECTURE 
</v>
      </c>
      <c r="H159" s="232" t="str">
        <f t="shared" si="24"/>
        <v>Davide Schaumann, Andrew Vande Moere, Yuval Kahlon, Farahbod Heidari, Alex Binh Vinh Duc Nguyen, Yiming Liu, Umaru Mohammed Bongwirnso, Sihao Chen, Thomas Fischer, Christiane M. Herr</v>
      </c>
      <c r="I159" s="233">
        <v>445</v>
      </c>
      <c r="J159" s="117"/>
      <c r="K159" s="38"/>
      <c r="L159" s="98" t="s">
        <v>296</v>
      </c>
      <c r="M159" s="128">
        <v>445</v>
      </c>
      <c r="N159" s="108" t="s">
        <v>297</v>
      </c>
      <c r="O159" s="132"/>
    </row>
    <row r="160" spans="1:16" ht="24">
      <c r="A160" s="162" t="s">
        <v>26</v>
      </c>
      <c r="B160" s="154">
        <v>45842</v>
      </c>
      <c r="C160" s="161" t="str">
        <f t="shared" si="25"/>
        <v>16:50 - 17:10</v>
      </c>
      <c r="D160" s="161" t="s">
        <v>27</v>
      </c>
      <c r="E160" s="154" t="s">
        <v>285</v>
      </c>
      <c r="G160" s="232" t="str">
        <f t="shared" si="23"/>
        <v xml:space="preserve">CATALYTIC DESIGN INTERFACES: AI-GUIDED BUILDING MASSING AND AUTOMATED COMPLIANCE
</v>
      </c>
      <c r="H160" s="232" t="str">
        <f t="shared" si="24"/>
        <v>Tejas Chavan, Houssame E. Hsain, Camiel Weijenberg and Sayjel V. Patel</v>
      </c>
      <c r="I160" s="233">
        <v>458</v>
      </c>
      <c r="J160" s="117"/>
      <c r="K160" s="38"/>
      <c r="L160" s="98" t="s">
        <v>298</v>
      </c>
      <c r="M160" s="128">
        <v>458</v>
      </c>
      <c r="N160" s="108" t="s">
        <v>299</v>
      </c>
      <c r="O160" s="132"/>
    </row>
    <row r="161" spans="1:16" s="171" customFormat="1" hidden="1">
      <c r="A161" s="163"/>
      <c r="B161" s="164">
        <v>45842</v>
      </c>
      <c r="C161" s="164" t="str">
        <f t="shared" ref="C161:C164" si="26">J161</f>
        <v>17:10 - 17:30</v>
      </c>
      <c r="D161" s="165"/>
      <c r="E161" s="164" t="s">
        <v>24</v>
      </c>
      <c r="F161" s="164"/>
      <c r="G161" s="227"/>
      <c r="H161" s="232"/>
      <c r="I161" s="229"/>
      <c r="J161" s="166" t="s">
        <v>300</v>
      </c>
      <c r="K161" s="197" t="s">
        <v>24</v>
      </c>
      <c r="L161" s="168"/>
      <c r="M161" s="172"/>
      <c r="N161" s="213"/>
      <c r="O161" s="213"/>
      <c r="P161" s="170"/>
    </row>
    <row r="162" spans="1:16" s="179" customFormat="1">
      <c r="A162" s="163" t="s">
        <v>21</v>
      </c>
      <c r="B162" s="164">
        <v>45842</v>
      </c>
      <c r="C162" s="164" t="str">
        <f t="shared" si="26"/>
        <v>17:30 - 18:30</v>
      </c>
      <c r="D162" s="165"/>
      <c r="E162" s="164" t="s">
        <v>301</v>
      </c>
      <c r="F162" s="164"/>
      <c r="G162" s="227"/>
      <c r="H162" s="232"/>
      <c r="I162" s="229"/>
      <c r="J162" s="174" t="s">
        <v>302</v>
      </c>
      <c r="K162" s="224" t="s">
        <v>301</v>
      </c>
      <c r="L162" s="175"/>
      <c r="M162" s="176"/>
      <c r="N162" s="177"/>
      <c r="O162" s="178"/>
      <c r="P162" s="170"/>
    </row>
    <row r="163" spans="1:16" s="171" customFormat="1">
      <c r="A163" s="163"/>
      <c r="B163" s="164">
        <v>45842</v>
      </c>
      <c r="C163" s="164" t="str">
        <f t="shared" si="26"/>
        <v>18:30 -19:00</v>
      </c>
      <c r="D163" s="165"/>
      <c r="E163" s="164" t="s">
        <v>303</v>
      </c>
      <c r="F163" s="164"/>
      <c r="G163" s="227"/>
      <c r="H163" s="232"/>
      <c r="I163" s="229"/>
      <c r="J163" s="166" t="s">
        <v>304</v>
      </c>
      <c r="K163" s="167" t="s">
        <v>303</v>
      </c>
      <c r="L163" s="168"/>
      <c r="M163" s="172"/>
      <c r="N163" s="213"/>
      <c r="O163" s="213"/>
      <c r="P163" s="170"/>
    </row>
    <row r="164" spans="1:16" s="171" customFormat="1" hidden="1">
      <c r="A164" s="163" t="s">
        <v>305</v>
      </c>
      <c r="B164" s="164">
        <v>45842</v>
      </c>
      <c r="C164" s="164" t="str">
        <f t="shared" si="26"/>
        <v>19:30 - 22:30</v>
      </c>
      <c r="D164" s="165"/>
      <c r="E164" s="164" t="s">
        <v>305</v>
      </c>
      <c r="F164" s="164"/>
      <c r="G164" s="227"/>
      <c r="H164" s="232"/>
      <c r="I164" s="229"/>
      <c r="J164" s="166" t="s">
        <v>306</v>
      </c>
      <c r="K164" s="167" t="s">
        <v>307</v>
      </c>
      <c r="L164" s="168"/>
      <c r="M164" s="172"/>
      <c r="N164" s="213"/>
      <c r="O164" s="213"/>
      <c r="P164" s="170"/>
    </row>
    <row r="1048503" spans="8:8">
      <c r="H1048503" s="231"/>
    </row>
    <row r="1048575" spans="8:8">
      <c r="H1048575" s="226"/>
    </row>
    <row r="1048576" spans="8:8">
      <c r="H1048576" s="226"/>
    </row>
  </sheetData>
  <autoFilter ref="A1:P164" xr:uid="{5408C90D-0CF7-4E78-917A-9038FC6FA689}">
    <filterColumn colId="10">
      <filters blank="1">
        <filter val="Catalytic Interfaces - Check In"/>
        <filter val="Catalytic Interfaces - Work Session"/>
        <filter val="Catalytic Interfaces Presentation"/>
        <filter val="Closing Remarks"/>
        <filter val="Gala dinner"/>
        <filter val="Keynote 1: MARIANA POPESCU"/>
        <filter val="Keynote 2: SHIGERU BAN"/>
        <filter val="Keynote 3: WANYU HE"/>
        <filter val="Keynote 4: DANIELA MITTERBERGER"/>
        <filter val="Keynote 5: WILSON LU"/>
        <filter val="Lion Dance"/>
        <filter val="Lunch Break / Poster Viewing"/>
        <filter val="Parallel Presentations 1"/>
        <filter val="Parallel Presentations 2"/>
        <filter val="Parallel Presentations 3"/>
        <filter val="Registration &amp; Opening"/>
        <filter val="Speaker-led Presentations 1: INTELLIGENT ROBOTIC ASSEMBLY"/>
        <filter val="Speaker-led Presentations 2: URBAN PERCEPTIONS &amp; PATTERNS I"/>
        <filter val="Speaker-led Presentations 3: MORPHOLOGY ACROSS SCALES"/>
        <filter val="Speaker-led Presentations 4: PROMPTING ARCHITECTURE"/>
        <filter val="Speaker-led Presentations 5: ARCHITECTURAL COMPUTING &amp; REASONING"/>
        <filter val="Special Collection Presentations 1: GENERATING BUILDING LAYOUT"/>
        <filter val="Special Collection Presentations 2: AUGMENTING &amp; ADVANCING DESIGN"/>
        <filter val="Special Collection Presentations 3: URBAN PERCEPTIONS &amp; PATTERNS II"/>
        <filter val="Special Collection Presentations 4: STRUCTURAL, FABRICATION &amp; MATERIAL LOGIC"/>
        <filter val="Welcome &amp; Opening Remarks"/>
        <filter val="Welcome Drinks"/>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CB3F9-4A69-422E-B5C4-ED634954499A}">
  <sheetPr filterMode="1"/>
  <dimension ref="A1:P426"/>
  <sheetViews>
    <sheetView topLeftCell="D233" zoomScale="115" zoomScaleNormal="115" workbookViewId="0">
      <selection activeCell="L347" sqref="L347"/>
    </sheetView>
  </sheetViews>
  <sheetFormatPr defaultColWidth="8.7109375" defaultRowHeight="12" outlineLevelCol="1"/>
  <cols>
    <col min="1" max="1" width="23.140625" style="3" hidden="1" customWidth="1" outlineLevel="1"/>
    <col min="2" max="3" width="4.85546875" style="4" hidden="1" customWidth="1" outlineLevel="1"/>
    <col min="4" max="4" width="15.42578125" style="122" customWidth="1" collapsed="1"/>
    <col min="5" max="5" width="42.140625" style="3" bestFit="1" customWidth="1"/>
    <col min="6" max="6" width="10.28515625" style="3" bestFit="1" customWidth="1"/>
    <col min="7" max="7" width="4.140625" style="89" customWidth="1"/>
    <col min="8" max="8" width="16.85546875" style="3" customWidth="1"/>
    <col min="9" max="9" width="4.140625" style="90" customWidth="1"/>
    <col min="10" max="10" width="43.28515625" style="91" customWidth="1"/>
    <col min="11" max="11" width="4.140625" style="92" customWidth="1"/>
    <col min="12" max="12" width="43.28515625" style="93" customWidth="1"/>
    <col min="13" max="13" width="4.140625" style="92" customWidth="1"/>
    <col min="14" max="14" width="43.28515625" style="93" customWidth="1"/>
    <col min="15" max="15" width="4.140625" style="92" customWidth="1"/>
    <col min="16" max="16" width="43.28515625" style="93" customWidth="1"/>
    <col min="17" max="16384" width="8.7109375" style="3"/>
  </cols>
  <sheetData>
    <row r="1" spans="1:16" s="1" customFormat="1" ht="18" customHeight="1">
      <c r="B1" s="2"/>
      <c r="C1" s="2"/>
      <c r="D1" s="111" t="s">
        <v>308</v>
      </c>
      <c r="G1" s="7" t="s">
        <v>309</v>
      </c>
      <c r="H1" s="1" t="s">
        <v>310</v>
      </c>
      <c r="I1" s="7" t="s">
        <v>309</v>
      </c>
      <c r="J1" s="1" t="s">
        <v>310</v>
      </c>
      <c r="K1" s="7" t="s">
        <v>309</v>
      </c>
      <c r="L1" s="1" t="s">
        <v>310</v>
      </c>
      <c r="M1" s="7" t="s">
        <v>309</v>
      </c>
      <c r="N1" s="1" t="s">
        <v>310</v>
      </c>
      <c r="O1" s="7" t="s">
        <v>309</v>
      </c>
      <c r="P1" s="1" t="s">
        <v>310</v>
      </c>
    </row>
    <row r="2" spans="1:16" ht="12.95" customHeight="1">
      <c r="A2" s="3" t="str">
        <f>_xlfn.CONCAT(D2:N2)</f>
        <v xml:space="preserve">Tuesday </v>
      </c>
      <c r="D2" s="112" t="s">
        <v>311</v>
      </c>
      <c r="E2" s="8"/>
      <c r="F2" s="8"/>
      <c r="G2" s="8"/>
      <c r="H2" s="8"/>
      <c r="I2" s="8"/>
      <c r="J2" s="8"/>
      <c r="K2" s="9"/>
      <c r="L2" s="10"/>
      <c r="M2" s="9"/>
      <c r="N2" s="10"/>
      <c r="O2" s="9"/>
      <c r="P2" s="10"/>
    </row>
    <row r="3" spans="1:16" ht="12.95" customHeight="1">
      <c r="A3" s="3" t="str">
        <f t="shared" ref="A3:A66" si="0">_xlfn.CONCAT(D3:N3)</f>
        <v>45839</v>
      </c>
      <c r="D3" s="113">
        <v>45839</v>
      </c>
      <c r="E3" s="11"/>
      <c r="F3" s="11"/>
      <c r="G3" s="11"/>
      <c r="H3" s="11"/>
      <c r="I3" s="11"/>
      <c r="J3" s="11"/>
      <c r="K3" s="9"/>
      <c r="L3" s="12"/>
      <c r="M3" s="9"/>
      <c r="N3" s="12"/>
      <c r="O3" s="9"/>
      <c r="P3" s="12"/>
    </row>
    <row r="4" spans="1:16" ht="12.95" customHeight="1">
      <c r="A4" s="3" t="str">
        <f t="shared" si="0"/>
        <v>18:00 - 21:00Welcome Drinks</v>
      </c>
      <c r="B4" s="5">
        <v>0.75</v>
      </c>
      <c r="C4" s="5">
        <f t="shared" ref="C4:C39" si="1">B4+TIME(0,5,0)</f>
        <v>0.75347222222222221</v>
      </c>
      <c r="D4" s="114" t="s">
        <v>12</v>
      </c>
      <c r="E4" s="14" t="s">
        <v>11</v>
      </c>
      <c r="F4" s="13"/>
      <c r="G4" s="15"/>
      <c r="H4" s="13"/>
      <c r="I4" s="16"/>
      <c r="J4" s="17"/>
      <c r="K4" s="18"/>
      <c r="L4" s="19"/>
      <c r="M4" s="18"/>
      <c r="N4" s="19"/>
      <c r="O4" s="18"/>
      <c r="P4" s="19"/>
    </row>
    <row r="5" spans="1:16" ht="12.95" hidden="1" customHeight="1">
      <c r="A5" s="3" t="str">
        <f t="shared" si="0"/>
        <v/>
      </c>
      <c r="B5" s="5">
        <f t="shared" ref="B5:B39" si="2">C4</f>
        <v>0.75347222222222221</v>
      </c>
      <c r="C5" s="5">
        <f t="shared" si="1"/>
        <v>0.75694444444444442</v>
      </c>
      <c r="D5" s="13"/>
      <c r="E5" s="13"/>
      <c r="F5" s="13"/>
      <c r="G5" s="15"/>
      <c r="H5" s="13"/>
      <c r="I5" s="16"/>
      <c r="J5" s="17"/>
      <c r="K5" s="18"/>
      <c r="L5" s="19"/>
      <c r="M5" s="18"/>
      <c r="N5" s="19"/>
      <c r="O5" s="18"/>
      <c r="P5" s="19"/>
    </row>
    <row r="6" spans="1:16" ht="12.95" hidden="1" customHeight="1">
      <c r="A6" s="3" t="str">
        <f t="shared" si="0"/>
        <v/>
      </c>
      <c r="B6" s="5">
        <f t="shared" si="2"/>
        <v>0.75694444444444442</v>
      </c>
      <c r="C6" s="5">
        <f t="shared" si="1"/>
        <v>0.76041666666666663</v>
      </c>
      <c r="D6" s="13"/>
      <c r="E6" s="13"/>
      <c r="F6" s="13"/>
      <c r="G6" s="15"/>
      <c r="H6" s="13"/>
      <c r="I6" s="16"/>
      <c r="J6" s="17"/>
      <c r="K6" s="18"/>
      <c r="L6" s="19"/>
      <c r="M6" s="18"/>
      <c r="N6" s="19"/>
      <c r="O6" s="18"/>
      <c r="P6" s="19"/>
    </row>
    <row r="7" spans="1:16" ht="12.95" hidden="1" customHeight="1">
      <c r="A7" s="3" t="str">
        <f t="shared" si="0"/>
        <v/>
      </c>
      <c r="B7" s="5">
        <f t="shared" si="2"/>
        <v>0.76041666666666663</v>
      </c>
      <c r="C7" s="5">
        <f t="shared" si="1"/>
        <v>0.76388888888888884</v>
      </c>
      <c r="D7" s="13"/>
      <c r="E7" s="13"/>
      <c r="F7" s="13"/>
      <c r="G7" s="15"/>
      <c r="H7" s="13"/>
      <c r="I7" s="16"/>
      <c r="J7" s="17"/>
      <c r="K7" s="18"/>
      <c r="L7" s="19"/>
      <c r="M7" s="18"/>
      <c r="N7" s="19"/>
      <c r="O7" s="18"/>
      <c r="P7" s="19"/>
    </row>
    <row r="8" spans="1:16" ht="12.95" hidden="1" customHeight="1">
      <c r="A8" s="3" t="str">
        <f t="shared" si="0"/>
        <v/>
      </c>
      <c r="B8" s="5">
        <f t="shared" si="2"/>
        <v>0.76388888888888884</v>
      </c>
      <c r="C8" s="5">
        <f t="shared" si="1"/>
        <v>0.76736111111111105</v>
      </c>
      <c r="D8" s="13"/>
      <c r="E8" s="13"/>
      <c r="F8" s="13"/>
      <c r="G8" s="15"/>
      <c r="H8" s="13"/>
      <c r="I8" s="16"/>
      <c r="J8" s="17"/>
      <c r="K8" s="18"/>
      <c r="L8" s="19"/>
      <c r="M8" s="18"/>
      <c r="N8" s="19"/>
      <c r="O8" s="18"/>
      <c r="P8" s="19"/>
    </row>
    <row r="9" spans="1:16" ht="12.95" hidden="1" customHeight="1">
      <c r="A9" s="3" t="str">
        <f t="shared" si="0"/>
        <v/>
      </c>
      <c r="B9" s="5">
        <f t="shared" si="2"/>
        <v>0.76736111111111105</v>
      </c>
      <c r="C9" s="5">
        <f t="shared" si="1"/>
        <v>0.77083333333333326</v>
      </c>
      <c r="D9" s="13"/>
      <c r="E9" s="13"/>
      <c r="F9" s="13"/>
      <c r="G9" s="15"/>
      <c r="H9" s="13"/>
      <c r="I9" s="16"/>
      <c r="J9" s="17"/>
      <c r="K9" s="18"/>
      <c r="L9" s="19"/>
      <c r="M9" s="18"/>
      <c r="N9" s="19"/>
      <c r="O9" s="18"/>
      <c r="P9" s="19"/>
    </row>
    <row r="10" spans="1:16" ht="12.95" hidden="1" customHeight="1">
      <c r="A10" s="3" t="str">
        <f t="shared" si="0"/>
        <v/>
      </c>
      <c r="B10" s="5">
        <f t="shared" si="2"/>
        <v>0.77083333333333326</v>
      </c>
      <c r="C10" s="5">
        <f t="shared" si="1"/>
        <v>0.77430555555555547</v>
      </c>
      <c r="D10" s="13"/>
      <c r="E10" s="13"/>
      <c r="F10" s="13"/>
      <c r="G10" s="15"/>
      <c r="H10" s="13"/>
      <c r="I10" s="16"/>
      <c r="J10" s="17"/>
      <c r="K10" s="18"/>
      <c r="L10" s="19"/>
      <c r="M10" s="18"/>
      <c r="N10" s="19"/>
      <c r="O10" s="18"/>
      <c r="P10" s="19"/>
    </row>
    <row r="11" spans="1:16" ht="12.95" hidden="1" customHeight="1">
      <c r="A11" s="3" t="str">
        <f t="shared" si="0"/>
        <v/>
      </c>
      <c r="B11" s="5">
        <f t="shared" si="2"/>
        <v>0.77430555555555547</v>
      </c>
      <c r="C11" s="5">
        <f t="shared" si="1"/>
        <v>0.77777777777777768</v>
      </c>
      <c r="D11" s="13"/>
      <c r="E11" s="13"/>
      <c r="F11" s="13"/>
      <c r="G11" s="15"/>
      <c r="H11" s="13"/>
      <c r="I11" s="16"/>
      <c r="J11" s="17"/>
      <c r="K11" s="18"/>
      <c r="L11" s="19"/>
      <c r="M11" s="18"/>
      <c r="N11" s="19"/>
      <c r="O11" s="18"/>
      <c r="P11" s="19"/>
    </row>
    <row r="12" spans="1:16" ht="12.95" hidden="1" customHeight="1">
      <c r="A12" s="3" t="str">
        <f t="shared" si="0"/>
        <v/>
      </c>
      <c r="B12" s="5">
        <f t="shared" si="2"/>
        <v>0.77777777777777768</v>
      </c>
      <c r="C12" s="5">
        <f t="shared" si="1"/>
        <v>0.78124999999999989</v>
      </c>
      <c r="D12" s="13"/>
      <c r="E12" s="13"/>
      <c r="F12" s="13"/>
      <c r="G12" s="15"/>
      <c r="H12" s="13"/>
      <c r="I12" s="16"/>
      <c r="J12" s="17"/>
      <c r="K12" s="18"/>
      <c r="L12" s="19"/>
      <c r="M12" s="18"/>
      <c r="N12" s="19"/>
      <c r="O12" s="18"/>
      <c r="P12" s="19"/>
    </row>
    <row r="13" spans="1:16" ht="12.95" hidden="1" customHeight="1">
      <c r="A13" s="3" t="str">
        <f t="shared" si="0"/>
        <v/>
      </c>
      <c r="B13" s="5">
        <f t="shared" si="2"/>
        <v>0.78124999999999989</v>
      </c>
      <c r="C13" s="5">
        <f t="shared" si="1"/>
        <v>0.7847222222222221</v>
      </c>
      <c r="D13" s="13"/>
      <c r="E13" s="13"/>
      <c r="F13" s="13"/>
      <c r="G13" s="15"/>
      <c r="H13" s="13"/>
      <c r="I13" s="16"/>
      <c r="J13" s="17"/>
      <c r="K13" s="18"/>
      <c r="L13" s="19"/>
      <c r="M13" s="18"/>
      <c r="N13" s="19"/>
      <c r="O13" s="18"/>
      <c r="P13" s="19"/>
    </row>
    <row r="14" spans="1:16" ht="12.95" hidden="1" customHeight="1">
      <c r="A14" s="3" t="str">
        <f t="shared" si="0"/>
        <v/>
      </c>
      <c r="B14" s="5">
        <f t="shared" si="2"/>
        <v>0.7847222222222221</v>
      </c>
      <c r="C14" s="5">
        <f t="shared" si="1"/>
        <v>0.78819444444444431</v>
      </c>
      <c r="D14" s="13"/>
      <c r="E14" s="13"/>
      <c r="F14" s="13"/>
      <c r="G14" s="15"/>
      <c r="H14" s="13"/>
      <c r="I14" s="16"/>
      <c r="J14" s="17"/>
      <c r="K14" s="18"/>
      <c r="L14" s="19"/>
      <c r="M14" s="18"/>
      <c r="N14" s="19"/>
      <c r="O14" s="18"/>
      <c r="P14" s="19"/>
    </row>
    <row r="15" spans="1:16" ht="12.95" hidden="1" customHeight="1" thickBot="1">
      <c r="A15" s="3" t="str">
        <f t="shared" si="0"/>
        <v/>
      </c>
      <c r="B15" s="6">
        <f t="shared" si="2"/>
        <v>0.78819444444444431</v>
      </c>
      <c r="C15" s="6">
        <f t="shared" si="1"/>
        <v>0.79166666666666652</v>
      </c>
      <c r="D15" s="13"/>
      <c r="E15" s="13"/>
      <c r="F15" s="13"/>
      <c r="G15" s="15"/>
      <c r="H15" s="13"/>
      <c r="I15" s="16"/>
      <c r="J15" s="17"/>
      <c r="K15" s="18"/>
      <c r="L15" s="19"/>
      <c r="M15" s="18"/>
      <c r="N15" s="19"/>
      <c r="O15" s="18"/>
      <c r="P15" s="19"/>
    </row>
    <row r="16" spans="1:16" ht="12.95" hidden="1" customHeight="1">
      <c r="A16" s="3" t="str">
        <f t="shared" si="0"/>
        <v/>
      </c>
      <c r="B16" s="5">
        <f t="shared" si="2"/>
        <v>0.79166666666666652</v>
      </c>
      <c r="C16" s="5">
        <f t="shared" si="1"/>
        <v>0.79513888888888873</v>
      </c>
      <c r="D16" s="13"/>
      <c r="E16" s="13"/>
      <c r="F16" s="13"/>
      <c r="G16" s="15"/>
      <c r="H16" s="13"/>
      <c r="I16" s="16"/>
      <c r="J16" s="17"/>
      <c r="K16" s="18"/>
      <c r="L16" s="19"/>
      <c r="M16" s="18"/>
      <c r="N16" s="19"/>
      <c r="O16" s="18"/>
      <c r="P16" s="19"/>
    </row>
    <row r="17" spans="1:16" ht="12.95" hidden="1" customHeight="1">
      <c r="A17" s="3" t="str">
        <f t="shared" si="0"/>
        <v/>
      </c>
      <c r="B17" s="5">
        <f t="shared" si="2"/>
        <v>0.79513888888888873</v>
      </c>
      <c r="C17" s="5">
        <f t="shared" si="1"/>
        <v>0.79861111111111094</v>
      </c>
      <c r="D17" s="13"/>
      <c r="E17" s="13"/>
      <c r="F17" s="13"/>
      <c r="G17" s="15"/>
      <c r="H17" s="13"/>
      <c r="I17" s="16"/>
      <c r="J17" s="17"/>
      <c r="K17" s="18"/>
      <c r="L17" s="19"/>
      <c r="M17" s="18"/>
      <c r="N17" s="19"/>
      <c r="O17" s="18"/>
      <c r="P17" s="19"/>
    </row>
    <row r="18" spans="1:16" ht="12.95" hidden="1" customHeight="1">
      <c r="A18" s="3" t="str">
        <f t="shared" si="0"/>
        <v/>
      </c>
      <c r="B18" s="5">
        <f t="shared" si="2"/>
        <v>0.79861111111111094</v>
      </c>
      <c r="C18" s="5">
        <f t="shared" si="1"/>
        <v>0.80208333333333315</v>
      </c>
      <c r="D18" s="13"/>
      <c r="E18" s="13"/>
      <c r="F18" s="13"/>
      <c r="G18" s="15"/>
      <c r="H18" s="13"/>
      <c r="I18" s="16"/>
      <c r="J18" s="17"/>
      <c r="K18" s="18"/>
      <c r="L18" s="19"/>
      <c r="M18" s="18"/>
      <c r="N18" s="19"/>
      <c r="O18" s="18"/>
      <c r="P18" s="19"/>
    </row>
    <row r="19" spans="1:16" ht="12.95" hidden="1" customHeight="1">
      <c r="A19" s="3" t="str">
        <f t="shared" si="0"/>
        <v/>
      </c>
      <c r="B19" s="5">
        <f t="shared" si="2"/>
        <v>0.80208333333333315</v>
      </c>
      <c r="C19" s="5">
        <f t="shared" si="1"/>
        <v>0.80555555555555536</v>
      </c>
      <c r="D19" s="13"/>
      <c r="E19" s="13"/>
      <c r="F19" s="13"/>
      <c r="G19" s="15"/>
      <c r="H19" s="13"/>
      <c r="I19" s="16"/>
      <c r="J19" s="17"/>
      <c r="K19" s="18"/>
      <c r="L19" s="19"/>
      <c r="M19" s="18"/>
      <c r="N19" s="19"/>
      <c r="O19" s="18"/>
      <c r="P19" s="19"/>
    </row>
    <row r="20" spans="1:16" ht="12.95" hidden="1" customHeight="1">
      <c r="A20" s="3" t="str">
        <f t="shared" si="0"/>
        <v/>
      </c>
      <c r="B20" s="5">
        <f t="shared" si="2"/>
        <v>0.80555555555555536</v>
      </c>
      <c r="C20" s="5">
        <f t="shared" si="1"/>
        <v>0.80902777777777757</v>
      </c>
      <c r="D20" s="13"/>
      <c r="E20" s="13"/>
      <c r="F20" s="13"/>
      <c r="G20" s="15"/>
      <c r="H20" s="13"/>
      <c r="I20" s="16"/>
      <c r="J20" s="17"/>
      <c r="K20" s="18"/>
      <c r="L20" s="19"/>
      <c r="M20" s="18"/>
      <c r="N20" s="19"/>
      <c r="O20" s="18"/>
      <c r="P20" s="19"/>
    </row>
    <row r="21" spans="1:16" ht="12.95" hidden="1" customHeight="1">
      <c r="A21" s="3" t="str">
        <f t="shared" si="0"/>
        <v/>
      </c>
      <c r="B21" s="5">
        <f t="shared" si="2"/>
        <v>0.80902777777777757</v>
      </c>
      <c r="C21" s="5">
        <f t="shared" si="1"/>
        <v>0.81249999999999978</v>
      </c>
      <c r="D21" s="13"/>
      <c r="E21" s="13"/>
      <c r="F21" s="13"/>
      <c r="G21" s="15"/>
      <c r="H21" s="13"/>
      <c r="I21" s="16"/>
      <c r="J21" s="17"/>
      <c r="K21" s="18"/>
      <c r="L21" s="19"/>
      <c r="M21" s="18"/>
      <c r="N21" s="19"/>
      <c r="O21" s="18"/>
      <c r="P21" s="19"/>
    </row>
    <row r="22" spans="1:16" ht="12.95" hidden="1" customHeight="1">
      <c r="A22" s="3" t="str">
        <f t="shared" si="0"/>
        <v/>
      </c>
      <c r="B22" s="5">
        <f t="shared" si="2"/>
        <v>0.81249999999999978</v>
      </c>
      <c r="C22" s="5">
        <f t="shared" si="1"/>
        <v>0.81597222222222199</v>
      </c>
      <c r="D22" s="13"/>
      <c r="E22" s="13"/>
      <c r="F22" s="13"/>
      <c r="G22" s="15"/>
      <c r="H22" s="13"/>
      <c r="I22" s="16"/>
      <c r="J22" s="17"/>
      <c r="K22" s="18"/>
      <c r="L22" s="19"/>
      <c r="M22" s="18"/>
      <c r="N22" s="19"/>
      <c r="O22" s="18"/>
      <c r="P22" s="19"/>
    </row>
    <row r="23" spans="1:16" ht="12.95" hidden="1" customHeight="1">
      <c r="A23" s="3" t="str">
        <f t="shared" si="0"/>
        <v/>
      </c>
      <c r="B23" s="5">
        <f t="shared" si="2"/>
        <v>0.81597222222222199</v>
      </c>
      <c r="C23" s="5">
        <f t="shared" si="1"/>
        <v>0.8194444444444442</v>
      </c>
      <c r="D23" s="13"/>
      <c r="E23" s="13"/>
      <c r="F23" s="13"/>
      <c r="G23" s="15"/>
      <c r="H23" s="13"/>
      <c r="I23" s="16"/>
      <c r="J23" s="17"/>
      <c r="K23" s="18"/>
      <c r="L23" s="19"/>
      <c r="M23" s="18"/>
      <c r="N23" s="19"/>
      <c r="O23" s="18"/>
      <c r="P23" s="19"/>
    </row>
    <row r="24" spans="1:16" ht="12.95" hidden="1" customHeight="1">
      <c r="A24" s="3" t="str">
        <f t="shared" si="0"/>
        <v/>
      </c>
      <c r="B24" s="5">
        <f t="shared" si="2"/>
        <v>0.8194444444444442</v>
      </c>
      <c r="C24" s="5">
        <f t="shared" si="1"/>
        <v>0.82291666666666641</v>
      </c>
      <c r="D24" s="13"/>
      <c r="E24" s="13"/>
      <c r="F24" s="13"/>
      <c r="G24" s="15"/>
      <c r="H24" s="13"/>
      <c r="I24" s="16"/>
      <c r="J24" s="17"/>
      <c r="K24" s="18"/>
      <c r="L24" s="19"/>
      <c r="M24" s="18"/>
      <c r="N24" s="19"/>
      <c r="O24" s="18"/>
      <c r="P24" s="19"/>
    </row>
    <row r="25" spans="1:16" ht="12.95" hidden="1" customHeight="1">
      <c r="A25" s="3" t="str">
        <f t="shared" si="0"/>
        <v/>
      </c>
      <c r="B25" s="5">
        <f t="shared" si="2"/>
        <v>0.82291666666666641</v>
      </c>
      <c r="C25" s="5">
        <f t="shared" si="1"/>
        <v>0.82638888888888862</v>
      </c>
      <c r="D25" s="13"/>
      <c r="E25" s="13"/>
      <c r="F25" s="13"/>
      <c r="G25" s="15"/>
      <c r="H25" s="13"/>
      <c r="I25" s="16"/>
      <c r="J25" s="17"/>
      <c r="K25" s="18"/>
      <c r="L25" s="19"/>
      <c r="M25" s="18"/>
      <c r="N25" s="19"/>
      <c r="O25" s="18"/>
      <c r="P25" s="19"/>
    </row>
    <row r="26" spans="1:16" ht="12.95" hidden="1" customHeight="1">
      <c r="A26" s="3" t="str">
        <f t="shared" si="0"/>
        <v/>
      </c>
      <c r="B26" s="5">
        <f t="shared" si="2"/>
        <v>0.82638888888888862</v>
      </c>
      <c r="C26" s="5">
        <f t="shared" si="1"/>
        <v>0.82986111111111083</v>
      </c>
      <c r="D26" s="13"/>
      <c r="E26" s="13"/>
      <c r="F26" s="13"/>
      <c r="G26" s="15"/>
      <c r="H26" s="13"/>
      <c r="I26" s="16"/>
      <c r="J26" s="17"/>
      <c r="K26" s="18"/>
      <c r="L26" s="19"/>
      <c r="M26" s="18"/>
      <c r="N26" s="19"/>
      <c r="O26" s="18"/>
      <c r="P26" s="19"/>
    </row>
    <row r="27" spans="1:16" ht="12.95" hidden="1" customHeight="1" thickBot="1">
      <c r="A27" s="3" t="str">
        <f t="shared" si="0"/>
        <v/>
      </c>
      <c r="B27" s="6">
        <f t="shared" si="2"/>
        <v>0.82986111111111083</v>
      </c>
      <c r="C27" s="6">
        <f t="shared" si="1"/>
        <v>0.83333333333333304</v>
      </c>
      <c r="D27" s="13"/>
      <c r="E27" s="13"/>
      <c r="F27" s="13"/>
      <c r="G27" s="15"/>
      <c r="H27" s="13"/>
      <c r="I27" s="16"/>
      <c r="J27" s="17"/>
      <c r="K27" s="18"/>
      <c r="L27" s="19"/>
      <c r="M27" s="18"/>
      <c r="N27" s="19"/>
      <c r="O27" s="18"/>
      <c r="P27" s="19"/>
    </row>
    <row r="28" spans="1:16" ht="12.95" hidden="1" customHeight="1">
      <c r="A28" s="3" t="str">
        <f t="shared" si="0"/>
        <v/>
      </c>
      <c r="B28" s="5">
        <f t="shared" si="2"/>
        <v>0.83333333333333304</v>
      </c>
      <c r="C28" s="5">
        <f t="shared" si="1"/>
        <v>0.83680555555555525</v>
      </c>
      <c r="D28" s="13"/>
      <c r="E28" s="13"/>
      <c r="F28" s="13"/>
      <c r="G28" s="15"/>
      <c r="H28" s="13"/>
      <c r="I28" s="16"/>
      <c r="J28" s="17"/>
      <c r="K28" s="18"/>
      <c r="L28" s="19"/>
      <c r="M28" s="18"/>
      <c r="N28" s="19"/>
      <c r="O28" s="18"/>
      <c r="P28" s="19"/>
    </row>
    <row r="29" spans="1:16" ht="12.95" hidden="1" customHeight="1">
      <c r="A29" s="3" t="str">
        <f t="shared" si="0"/>
        <v/>
      </c>
      <c r="B29" s="5">
        <f t="shared" si="2"/>
        <v>0.83680555555555525</v>
      </c>
      <c r="C29" s="5">
        <f t="shared" si="1"/>
        <v>0.84027777777777746</v>
      </c>
      <c r="D29" s="13"/>
      <c r="E29" s="13"/>
      <c r="F29" s="13"/>
      <c r="G29" s="15"/>
      <c r="H29" s="13"/>
      <c r="I29" s="16"/>
      <c r="J29" s="17"/>
      <c r="K29" s="18"/>
      <c r="L29" s="19"/>
      <c r="M29" s="18"/>
      <c r="N29" s="19"/>
      <c r="O29" s="18"/>
      <c r="P29" s="19"/>
    </row>
    <row r="30" spans="1:16" ht="12.95" hidden="1" customHeight="1">
      <c r="A30" s="3" t="str">
        <f t="shared" si="0"/>
        <v/>
      </c>
      <c r="B30" s="5">
        <f t="shared" si="2"/>
        <v>0.84027777777777746</v>
      </c>
      <c r="C30" s="5">
        <f t="shared" si="1"/>
        <v>0.84374999999999967</v>
      </c>
      <c r="D30" s="13"/>
      <c r="E30" s="13"/>
      <c r="F30" s="13"/>
      <c r="G30" s="15"/>
      <c r="H30" s="13"/>
      <c r="I30" s="16"/>
      <c r="J30" s="17"/>
      <c r="K30" s="18"/>
      <c r="L30" s="19"/>
      <c r="M30" s="18"/>
      <c r="N30" s="19"/>
      <c r="O30" s="18"/>
      <c r="P30" s="19"/>
    </row>
    <row r="31" spans="1:16" ht="12.95" hidden="1" customHeight="1">
      <c r="A31" s="3" t="str">
        <f t="shared" si="0"/>
        <v/>
      </c>
      <c r="B31" s="5">
        <f t="shared" si="2"/>
        <v>0.84374999999999967</v>
      </c>
      <c r="C31" s="5">
        <f t="shared" si="1"/>
        <v>0.84722222222222188</v>
      </c>
      <c r="D31" s="13"/>
      <c r="E31" s="13"/>
      <c r="F31" s="13"/>
      <c r="G31" s="15"/>
      <c r="H31" s="13"/>
      <c r="I31" s="16"/>
      <c r="J31" s="17"/>
      <c r="K31" s="18"/>
      <c r="L31" s="19"/>
      <c r="M31" s="18"/>
      <c r="N31" s="19"/>
      <c r="O31" s="18"/>
      <c r="P31" s="19"/>
    </row>
    <row r="32" spans="1:16" ht="12.95" hidden="1" customHeight="1">
      <c r="A32" s="3" t="str">
        <f t="shared" si="0"/>
        <v/>
      </c>
      <c r="B32" s="5">
        <f t="shared" si="2"/>
        <v>0.84722222222222188</v>
      </c>
      <c r="C32" s="5">
        <f t="shared" si="1"/>
        <v>0.85069444444444409</v>
      </c>
      <c r="D32" s="13"/>
      <c r="E32" s="13"/>
      <c r="F32" s="13"/>
      <c r="G32" s="15"/>
      <c r="H32" s="13"/>
      <c r="I32" s="16"/>
      <c r="J32" s="17"/>
      <c r="K32" s="18"/>
      <c r="L32" s="19"/>
      <c r="M32" s="18"/>
      <c r="N32" s="19"/>
      <c r="O32" s="18"/>
      <c r="P32" s="19"/>
    </row>
    <row r="33" spans="1:16" ht="12.95" hidden="1" customHeight="1">
      <c r="A33" s="3" t="str">
        <f t="shared" si="0"/>
        <v/>
      </c>
      <c r="B33" s="5">
        <f t="shared" si="2"/>
        <v>0.85069444444444409</v>
      </c>
      <c r="C33" s="5">
        <f t="shared" si="1"/>
        <v>0.8541666666666663</v>
      </c>
      <c r="D33" s="13"/>
      <c r="E33" s="13"/>
      <c r="F33" s="13"/>
      <c r="G33" s="15"/>
      <c r="H33" s="13"/>
      <c r="I33" s="16"/>
      <c r="J33" s="17"/>
      <c r="K33" s="18"/>
      <c r="L33" s="19"/>
      <c r="M33" s="18"/>
      <c r="N33" s="19"/>
      <c r="O33" s="18"/>
      <c r="P33" s="19"/>
    </row>
    <row r="34" spans="1:16" ht="12.95" hidden="1" customHeight="1">
      <c r="A34" s="3" t="str">
        <f t="shared" si="0"/>
        <v/>
      </c>
      <c r="B34" s="5">
        <f t="shared" si="2"/>
        <v>0.8541666666666663</v>
      </c>
      <c r="C34" s="5">
        <f t="shared" si="1"/>
        <v>0.85763888888888851</v>
      </c>
      <c r="D34" s="13"/>
      <c r="E34" s="13"/>
      <c r="F34" s="13"/>
      <c r="G34" s="15"/>
      <c r="H34" s="13"/>
      <c r="I34" s="16"/>
      <c r="J34" s="17"/>
      <c r="K34" s="18"/>
      <c r="L34" s="19"/>
      <c r="M34" s="18"/>
      <c r="N34" s="19"/>
      <c r="O34" s="18"/>
      <c r="P34" s="19"/>
    </row>
    <row r="35" spans="1:16" ht="12.95" hidden="1" customHeight="1">
      <c r="A35" s="3" t="str">
        <f t="shared" si="0"/>
        <v/>
      </c>
      <c r="B35" s="5">
        <f t="shared" si="2"/>
        <v>0.85763888888888851</v>
      </c>
      <c r="C35" s="5">
        <f t="shared" si="1"/>
        <v>0.86111111111111072</v>
      </c>
      <c r="D35" s="13"/>
      <c r="E35" s="13"/>
      <c r="F35" s="13"/>
      <c r="G35" s="15"/>
      <c r="H35" s="13"/>
      <c r="I35" s="16"/>
      <c r="J35" s="17"/>
      <c r="K35" s="18"/>
      <c r="L35" s="19"/>
      <c r="M35" s="18"/>
      <c r="N35" s="19"/>
      <c r="O35" s="18"/>
      <c r="P35" s="19"/>
    </row>
    <row r="36" spans="1:16" ht="12.95" hidden="1" customHeight="1">
      <c r="A36" s="3" t="str">
        <f t="shared" si="0"/>
        <v/>
      </c>
      <c r="B36" s="5">
        <f t="shared" si="2"/>
        <v>0.86111111111111072</v>
      </c>
      <c r="C36" s="5">
        <f t="shared" si="1"/>
        <v>0.86458333333333293</v>
      </c>
      <c r="D36" s="13"/>
      <c r="E36" s="13"/>
      <c r="F36" s="13"/>
      <c r="G36" s="15"/>
      <c r="H36" s="13"/>
      <c r="I36" s="16"/>
      <c r="J36" s="17"/>
      <c r="K36" s="18"/>
      <c r="L36" s="19"/>
      <c r="M36" s="18"/>
      <c r="N36" s="19"/>
      <c r="O36" s="18"/>
      <c r="P36" s="19"/>
    </row>
    <row r="37" spans="1:16" ht="12.95" hidden="1" customHeight="1">
      <c r="A37" s="3" t="str">
        <f t="shared" si="0"/>
        <v/>
      </c>
      <c r="B37" s="5">
        <f t="shared" si="2"/>
        <v>0.86458333333333293</v>
      </c>
      <c r="C37" s="5">
        <f t="shared" si="1"/>
        <v>0.86805555555555514</v>
      </c>
      <c r="D37" s="13"/>
      <c r="E37" s="13"/>
      <c r="F37" s="13"/>
      <c r="G37" s="15"/>
      <c r="H37" s="13"/>
      <c r="I37" s="16"/>
      <c r="J37" s="17"/>
      <c r="K37" s="18"/>
      <c r="L37" s="19"/>
      <c r="M37" s="18"/>
      <c r="N37" s="19"/>
      <c r="O37" s="18"/>
      <c r="P37" s="19"/>
    </row>
    <row r="38" spans="1:16" ht="12.95" hidden="1" customHeight="1">
      <c r="A38" s="3" t="str">
        <f t="shared" si="0"/>
        <v/>
      </c>
      <c r="B38" s="5">
        <f t="shared" si="2"/>
        <v>0.86805555555555514</v>
      </c>
      <c r="C38" s="5">
        <f t="shared" si="1"/>
        <v>0.87152777777777735</v>
      </c>
      <c r="D38" s="13"/>
      <c r="E38" s="13"/>
      <c r="F38" s="13"/>
      <c r="G38" s="15"/>
      <c r="H38" s="13"/>
      <c r="I38" s="16"/>
      <c r="J38" s="17"/>
      <c r="K38" s="18"/>
      <c r="L38" s="19"/>
      <c r="M38" s="18"/>
      <c r="N38" s="19"/>
      <c r="O38" s="18"/>
      <c r="P38" s="19"/>
    </row>
    <row r="39" spans="1:16" ht="12.95" hidden="1" customHeight="1" thickBot="1">
      <c r="A39" s="3" t="str">
        <f t="shared" si="0"/>
        <v/>
      </c>
      <c r="B39" s="6">
        <f t="shared" si="2"/>
        <v>0.87152777777777735</v>
      </c>
      <c r="C39" s="6">
        <f t="shared" si="1"/>
        <v>0.87499999999999956</v>
      </c>
      <c r="D39" s="13"/>
      <c r="E39" s="13"/>
      <c r="F39" s="13"/>
      <c r="G39" s="15"/>
      <c r="H39" s="13"/>
      <c r="I39" s="16"/>
      <c r="J39" s="17"/>
      <c r="K39" s="18"/>
      <c r="L39" s="19"/>
      <c r="M39" s="18"/>
      <c r="N39" s="19"/>
      <c r="O39" s="18"/>
      <c r="P39" s="19"/>
    </row>
    <row r="40" spans="1:16" ht="12.95" customHeight="1">
      <c r="A40" s="3" t="str">
        <f t="shared" si="0"/>
        <v>Wednesday</v>
      </c>
      <c r="D40" s="112" t="s">
        <v>312</v>
      </c>
      <c r="E40" s="8"/>
      <c r="F40" s="8"/>
      <c r="G40" s="8"/>
      <c r="H40" s="8"/>
      <c r="I40" s="8"/>
      <c r="J40" s="8"/>
      <c r="K40" s="9"/>
      <c r="L40" s="10"/>
      <c r="M40" s="9"/>
      <c r="N40" s="10"/>
      <c r="O40" s="9"/>
      <c r="P40" s="10"/>
    </row>
    <row r="41" spans="1:16" ht="12.95" customHeight="1">
      <c r="A41" s="3" t="str">
        <f t="shared" si="0"/>
        <v>45840</v>
      </c>
      <c r="D41" s="113">
        <f>D3+1</f>
        <v>45840</v>
      </c>
      <c r="E41" s="11"/>
      <c r="F41" s="11"/>
      <c r="G41" s="11"/>
      <c r="H41" s="11"/>
      <c r="I41" s="8"/>
      <c r="J41" s="8"/>
      <c r="K41" s="9"/>
      <c r="L41" s="10"/>
      <c r="M41" s="9"/>
      <c r="N41" s="10"/>
      <c r="O41" s="9"/>
      <c r="P41" s="10"/>
    </row>
    <row r="42" spans="1:16" ht="12.95" customHeight="1">
      <c r="A42" s="3" t="str">
        <f t="shared" si="0"/>
        <v>8:30 - 9:00Registration &amp; Opening</v>
      </c>
      <c r="B42" s="5">
        <v>0.35416666666666669</v>
      </c>
      <c r="C42" s="5">
        <f>B42+TIME(0,5,0)</f>
        <v>0.3576388888888889</v>
      </c>
      <c r="D42" s="114" t="s">
        <v>15</v>
      </c>
      <c r="E42" s="14" t="s">
        <v>14</v>
      </c>
      <c r="F42" s="13"/>
      <c r="G42" s="16"/>
      <c r="H42" s="17"/>
      <c r="I42" s="18"/>
      <c r="J42" s="19"/>
      <c r="K42" s="18"/>
      <c r="L42" s="19"/>
      <c r="M42" s="18"/>
      <c r="N42" s="19"/>
      <c r="O42" s="18"/>
      <c r="P42" s="19"/>
    </row>
    <row r="43" spans="1:16" ht="12.95" hidden="1" customHeight="1">
      <c r="A43" s="3" t="str">
        <f t="shared" si="0"/>
        <v/>
      </c>
      <c r="B43" s="5">
        <f t="shared" ref="B43:B107" si="3">C42</f>
        <v>0.3576388888888889</v>
      </c>
      <c r="C43" s="5">
        <f t="shared" ref="C43:C107" si="4">B43+TIME(0,5,0)</f>
        <v>0.3611111111111111</v>
      </c>
      <c r="D43" s="13"/>
      <c r="E43" s="14"/>
      <c r="F43" s="13"/>
      <c r="G43" s="16"/>
      <c r="H43" s="17"/>
      <c r="I43" s="18"/>
      <c r="J43" s="19"/>
      <c r="K43" s="18"/>
      <c r="L43" s="19"/>
      <c r="M43" s="18"/>
      <c r="N43" s="19"/>
      <c r="O43" s="18"/>
      <c r="P43" s="19"/>
    </row>
    <row r="44" spans="1:16" ht="12.95" hidden="1" customHeight="1">
      <c r="A44" s="3" t="str">
        <f t="shared" si="0"/>
        <v/>
      </c>
      <c r="B44" s="5">
        <f t="shared" si="3"/>
        <v>0.3611111111111111</v>
      </c>
      <c r="C44" s="5">
        <f t="shared" si="4"/>
        <v>0.36458333333333331</v>
      </c>
      <c r="D44" s="13"/>
      <c r="E44" s="14"/>
      <c r="F44" s="13"/>
      <c r="G44" s="16"/>
      <c r="H44" s="17"/>
      <c r="I44" s="18"/>
      <c r="J44" s="19"/>
      <c r="K44" s="18"/>
      <c r="L44" s="19"/>
      <c r="M44" s="18"/>
      <c r="N44" s="19"/>
      <c r="O44" s="18"/>
      <c r="P44" s="19"/>
    </row>
    <row r="45" spans="1:16" ht="12.95" hidden="1" customHeight="1">
      <c r="A45" s="3" t="str">
        <f t="shared" si="0"/>
        <v/>
      </c>
      <c r="B45" s="5">
        <f t="shared" si="3"/>
        <v>0.36458333333333331</v>
      </c>
      <c r="C45" s="5">
        <f t="shared" si="4"/>
        <v>0.36805555555555552</v>
      </c>
      <c r="D45" s="13"/>
      <c r="E45" s="14"/>
      <c r="F45" s="13"/>
      <c r="G45" s="16"/>
      <c r="H45" s="17"/>
      <c r="I45" s="18"/>
      <c r="J45" s="19"/>
      <c r="K45" s="18"/>
      <c r="L45" s="19"/>
      <c r="M45" s="18"/>
      <c r="N45" s="19"/>
      <c r="O45" s="18"/>
      <c r="P45" s="19"/>
    </row>
    <row r="46" spans="1:16" ht="12.95" hidden="1" customHeight="1">
      <c r="A46" s="3" t="str">
        <f t="shared" si="0"/>
        <v/>
      </c>
      <c r="B46" s="5">
        <f t="shared" si="3"/>
        <v>0.36805555555555552</v>
      </c>
      <c r="C46" s="5">
        <f t="shared" si="4"/>
        <v>0.37152777777777773</v>
      </c>
      <c r="D46" s="13"/>
      <c r="E46" s="14"/>
      <c r="F46" s="13"/>
      <c r="G46" s="16"/>
      <c r="H46" s="17"/>
      <c r="I46" s="18"/>
      <c r="J46" s="19"/>
      <c r="K46" s="18"/>
      <c r="L46" s="19"/>
      <c r="M46" s="18"/>
      <c r="N46" s="19"/>
      <c r="O46" s="18"/>
      <c r="P46" s="19"/>
    </row>
    <row r="47" spans="1:16" ht="12.95" hidden="1" customHeight="1" thickBot="1">
      <c r="A47" s="3" t="str">
        <f t="shared" si="0"/>
        <v/>
      </c>
      <c r="B47" s="6">
        <f t="shared" si="3"/>
        <v>0.37152777777777773</v>
      </c>
      <c r="C47" s="6">
        <f t="shared" si="4"/>
        <v>0.37499999999999994</v>
      </c>
      <c r="D47" s="13"/>
      <c r="E47" s="14"/>
      <c r="F47" s="13"/>
      <c r="G47" s="16"/>
      <c r="H47" s="17"/>
      <c r="I47" s="18"/>
      <c r="J47" s="19"/>
      <c r="K47" s="18"/>
      <c r="L47" s="19"/>
      <c r="M47" s="18"/>
      <c r="N47" s="19"/>
      <c r="O47" s="18"/>
      <c r="P47" s="19"/>
    </row>
    <row r="48" spans="1:16" ht="12.95" customHeight="1">
      <c r="A48" s="3" t="str">
        <f t="shared" si="0"/>
        <v>9:00 - 9:30Welcome &amp; Opening Remarks09:00 - 09:10CF25 Chair Intro</v>
      </c>
      <c r="B48" s="5">
        <f t="shared" si="3"/>
        <v>0.37499999999999994</v>
      </c>
      <c r="C48" s="5">
        <f t="shared" si="4"/>
        <v>0.37847222222222215</v>
      </c>
      <c r="D48" s="115" t="s">
        <v>18</v>
      </c>
      <c r="E48" s="21" t="s">
        <v>17</v>
      </c>
      <c r="F48" s="20" t="s">
        <v>313</v>
      </c>
      <c r="G48" s="22"/>
      <c r="H48" s="23" t="s">
        <v>314</v>
      </c>
      <c r="I48" s="24"/>
      <c r="J48" s="25"/>
      <c r="K48" s="24"/>
      <c r="L48" s="25"/>
      <c r="M48" s="24"/>
      <c r="N48" s="25"/>
      <c r="O48" s="24"/>
      <c r="P48" s="25"/>
    </row>
    <row r="49" spans="1:16" ht="12.95" hidden="1" customHeight="1">
      <c r="A49" s="3" t="str">
        <f t="shared" si="0"/>
        <v/>
      </c>
      <c r="B49" s="5">
        <f t="shared" si="3"/>
        <v>0.37847222222222215</v>
      </c>
      <c r="C49" s="5">
        <f t="shared" si="4"/>
        <v>0.38194444444444436</v>
      </c>
      <c r="D49" s="20"/>
      <c r="E49" s="21"/>
      <c r="F49" s="20"/>
      <c r="G49" s="22"/>
      <c r="H49" s="23"/>
      <c r="I49" s="24"/>
      <c r="J49" s="25"/>
      <c r="K49" s="24"/>
      <c r="L49" s="25"/>
      <c r="M49" s="24"/>
      <c r="N49" s="25"/>
      <c r="O49" s="24"/>
      <c r="P49" s="25"/>
    </row>
    <row r="50" spans="1:16" ht="12.95" customHeight="1">
      <c r="A50" s="3" t="str">
        <f t="shared" si="0"/>
        <v>09:10 - 09:15CAAD Futures intro (Candy)</v>
      </c>
      <c r="B50" s="5">
        <f t="shared" si="3"/>
        <v>0.38194444444444436</v>
      </c>
      <c r="C50" s="5">
        <f t="shared" si="4"/>
        <v>0.38541666666666657</v>
      </c>
      <c r="D50" s="115"/>
      <c r="E50" s="21"/>
      <c r="F50" s="20" t="s">
        <v>315</v>
      </c>
      <c r="G50" s="22"/>
      <c r="H50" s="23" t="s">
        <v>316</v>
      </c>
      <c r="I50" s="24"/>
      <c r="J50" s="25"/>
      <c r="K50" s="24"/>
      <c r="L50" s="25"/>
      <c r="M50" s="24"/>
      <c r="N50" s="25"/>
      <c r="O50" s="24"/>
      <c r="P50" s="25"/>
    </row>
    <row r="51" spans="1:16" ht="12.95" customHeight="1">
      <c r="A51" s="3" t="str">
        <f t="shared" si="0"/>
        <v>09:15 - 09:20CF25 Events promo + sign-up</v>
      </c>
      <c r="B51" s="5">
        <f t="shared" si="3"/>
        <v>0.38541666666666657</v>
      </c>
      <c r="C51" s="5">
        <f t="shared" si="4"/>
        <v>0.38888888888888878</v>
      </c>
      <c r="D51" s="115"/>
      <c r="E51" s="21"/>
      <c r="F51" s="20" t="s">
        <v>317</v>
      </c>
      <c r="G51" s="22"/>
      <c r="H51" s="23" t="s">
        <v>318</v>
      </c>
      <c r="I51" s="24"/>
      <c r="J51" s="25"/>
      <c r="K51" s="24"/>
      <c r="L51" s="25"/>
      <c r="M51" s="24"/>
      <c r="N51" s="25"/>
      <c r="O51" s="24"/>
      <c r="P51" s="25"/>
    </row>
    <row r="52" spans="1:16" ht="12.95" hidden="1" customHeight="1">
      <c r="A52" s="3" t="str">
        <f t="shared" si="0"/>
        <v/>
      </c>
      <c r="B52" s="5">
        <f t="shared" si="3"/>
        <v>0.38888888888888878</v>
      </c>
      <c r="C52" s="5">
        <f t="shared" si="4"/>
        <v>0.39236111111111099</v>
      </c>
      <c r="D52" s="20"/>
      <c r="E52" s="21"/>
      <c r="F52" s="26"/>
      <c r="G52" s="27"/>
      <c r="H52" s="28"/>
      <c r="I52" s="29"/>
      <c r="J52" s="30"/>
      <c r="K52" s="29"/>
      <c r="L52" s="30"/>
      <c r="M52" s="29"/>
      <c r="N52" s="30"/>
      <c r="O52" s="29"/>
      <c r="P52" s="30"/>
    </row>
    <row r="53" spans="1:16" ht="12.95" hidden="1" customHeight="1">
      <c r="A53" s="3" t="str">
        <f t="shared" si="0"/>
        <v/>
      </c>
      <c r="B53" s="5">
        <f t="shared" si="3"/>
        <v>0.39236111111111099</v>
      </c>
      <c r="C53" s="5">
        <f t="shared" si="4"/>
        <v>0.3958333333333332</v>
      </c>
      <c r="D53" s="20"/>
      <c r="E53" s="21"/>
      <c r="F53" s="26"/>
      <c r="G53" s="27"/>
      <c r="H53" s="28"/>
      <c r="I53" s="29"/>
      <c r="J53" s="30"/>
      <c r="K53" s="29"/>
      <c r="L53" s="30"/>
      <c r="M53" s="29"/>
      <c r="N53" s="30"/>
      <c r="O53" s="29"/>
      <c r="P53" s="30"/>
    </row>
    <row r="54" spans="1:16" ht="12.95" customHeight="1">
      <c r="A54" s="3" t="str">
        <f t="shared" si="0"/>
        <v>9:30 - 9:50Lion Dance</v>
      </c>
      <c r="B54" s="5">
        <f t="shared" si="3"/>
        <v>0.3958333333333332</v>
      </c>
      <c r="C54" s="5">
        <f t="shared" si="4"/>
        <v>0.39930555555555541</v>
      </c>
      <c r="D54" s="115" t="s">
        <v>20</v>
      </c>
      <c r="E54" s="31" t="s">
        <v>19</v>
      </c>
      <c r="F54" s="20"/>
      <c r="G54" s="22"/>
      <c r="H54" s="23"/>
      <c r="I54" s="24"/>
      <c r="J54" s="25"/>
      <c r="K54" s="24"/>
      <c r="L54" s="25"/>
      <c r="M54" s="24"/>
      <c r="N54" s="25"/>
      <c r="O54" s="24"/>
      <c r="P54" s="25"/>
    </row>
    <row r="55" spans="1:16" ht="12.95" hidden="1" customHeight="1">
      <c r="A55" s="3" t="str">
        <f t="shared" si="0"/>
        <v/>
      </c>
      <c r="B55" s="5">
        <f t="shared" si="3"/>
        <v>0.39930555555555541</v>
      </c>
      <c r="C55" s="5">
        <f t="shared" si="4"/>
        <v>0.40277777777777762</v>
      </c>
      <c r="D55" s="20"/>
      <c r="E55" s="21"/>
      <c r="F55" s="20"/>
      <c r="G55" s="22"/>
      <c r="H55" s="23"/>
      <c r="I55" s="24"/>
      <c r="J55" s="25"/>
      <c r="K55" s="24"/>
      <c r="L55" s="25"/>
      <c r="M55" s="24"/>
      <c r="N55" s="25"/>
      <c r="O55" s="24"/>
      <c r="P55" s="25"/>
    </row>
    <row r="56" spans="1:16" ht="12.95" hidden="1" customHeight="1">
      <c r="A56" s="3" t="str">
        <f t="shared" si="0"/>
        <v/>
      </c>
      <c r="B56" s="5">
        <f t="shared" si="3"/>
        <v>0.40277777777777762</v>
      </c>
      <c r="C56" s="5">
        <f t="shared" si="4"/>
        <v>0.40624999999999983</v>
      </c>
      <c r="D56" s="20"/>
      <c r="E56" s="21"/>
      <c r="F56" s="20"/>
      <c r="G56" s="22"/>
      <c r="H56" s="23"/>
      <c r="I56" s="24"/>
      <c r="J56" s="25"/>
      <c r="K56" s="24"/>
      <c r="L56" s="25"/>
      <c r="M56" s="24"/>
      <c r="N56" s="25"/>
      <c r="O56" s="24"/>
      <c r="P56" s="25"/>
    </row>
    <row r="57" spans="1:16" ht="12.95" hidden="1" customHeight="1">
      <c r="A57" s="3" t="str">
        <f t="shared" si="0"/>
        <v/>
      </c>
      <c r="B57" s="5">
        <f t="shared" si="3"/>
        <v>0.40624999999999983</v>
      </c>
      <c r="C57" s="5">
        <f t="shared" si="4"/>
        <v>0.40972222222222204</v>
      </c>
      <c r="D57" s="20"/>
      <c r="E57" s="21"/>
      <c r="F57" s="20"/>
      <c r="G57" s="22"/>
      <c r="H57" s="23"/>
      <c r="I57" s="24"/>
      <c r="J57" s="25"/>
      <c r="K57" s="24"/>
      <c r="L57" s="25"/>
      <c r="M57" s="24"/>
      <c r="N57" s="25"/>
      <c r="O57" s="24"/>
      <c r="P57" s="25"/>
    </row>
    <row r="58" spans="1:16" ht="12.95" customHeight="1">
      <c r="A58" s="3" t="str">
        <f t="shared" si="0"/>
        <v>9:50 - 10:50Keynote 1: MARIANA POPESCU</v>
      </c>
      <c r="B58" s="5">
        <f t="shared" si="3"/>
        <v>0.40972222222222204</v>
      </c>
      <c r="C58" s="5">
        <f t="shared" si="4"/>
        <v>0.41319444444444425</v>
      </c>
      <c r="D58" s="116" t="s">
        <v>23</v>
      </c>
      <c r="E58" s="33" t="s">
        <v>22</v>
      </c>
      <c r="F58" s="32"/>
      <c r="G58" s="34"/>
      <c r="H58" s="35"/>
      <c r="I58" s="36"/>
      <c r="J58" s="37"/>
      <c r="K58" s="36"/>
      <c r="L58" s="37"/>
      <c r="M58" s="36"/>
      <c r="N58" s="37"/>
      <c r="O58" s="36"/>
      <c r="P58" s="37"/>
    </row>
    <row r="59" spans="1:16" ht="12.95" hidden="1" customHeight="1" thickBot="1">
      <c r="A59" s="3" t="str">
        <f t="shared" si="0"/>
        <v/>
      </c>
      <c r="B59" s="6">
        <f t="shared" si="3"/>
        <v>0.41319444444444425</v>
      </c>
      <c r="C59" s="6">
        <f t="shared" si="4"/>
        <v>0.41666666666666646</v>
      </c>
      <c r="D59" s="32"/>
      <c r="E59" s="33"/>
      <c r="F59" s="32"/>
      <c r="G59" s="34"/>
      <c r="H59" s="35"/>
      <c r="I59" s="36"/>
      <c r="J59" s="37"/>
      <c r="K59" s="36"/>
      <c r="L59" s="37"/>
      <c r="M59" s="36"/>
      <c r="N59" s="37"/>
      <c r="O59" s="36"/>
      <c r="P59" s="37"/>
    </row>
    <row r="60" spans="1:16" ht="12.95" hidden="1" customHeight="1">
      <c r="A60" s="3" t="str">
        <f t="shared" si="0"/>
        <v/>
      </c>
      <c r="B60" s="5">
        <f t="shared" si="3"/>
        <v>0.41666666666666646</v>
      </c>
      <c r="C60" s="5">
        <f t="shared" si="4"/>
        <v>0.42013888888888867</v>
      </c>
      <c r="D60" s="32"/>
      <c r="E60" s="33"/>
      <c r="F60" s="32"/>
      <c r="G60" s="34"/>
      <c r="H60" s="35"/>
      <c r="I60" s="36"/>
      <c r="J60" s="37"/>
      <c r="K60" s="36"/>
      <c r="L60" s="37"/>
      <c r="M60" s="36"/>
      <c r="N60" s="37"/>
      <c r="O60" s="36"/>
      <c r="P60" s="37"/>
    </row>
    <row r="61" spans="1:16" ht="12.95" hidden="1" customHeight="1">
      <c r="A61" s="3" t="str">
        <f t="shared" si="0"/>
        <v/>
      </c>
      <c r="B61" s="5">
        <f t="shared" si="3"/>
        <v>0.42013888888888867</v>
      </c>
      <c r="C61" s="5">
        <f t="shared" si="4"/>
        <v>0.42361111111111088</v>
      </c>
      <c r="D61" s="32"/>
      <c r="E61" s="33"/>
      <c r="F61" s="32"/>
      <c r="G61" s="34"/>
      <c r="H61" s="35"/>
      <c r="I61" s="36"/>
      <c r="J61" s="37"/>
      <c r="K61" s="36"/>
      <c r="L61" s="37"/>
      <c r="M61" s="36"/>
      <c r="N61" s="37"/>
      <c r="O61" s="36"/>
      <c r="P61" s="37"/>
    </row>
    <row r="62" spans="1:16" ht="12.95" hidden="1" customHeight="1">
      <c r="A62" s="3" t="str">
        <f t="shared" si="0"/>
        <v/>
      </c>
      <c r="B62" s="5">
        <f t="shared" si="3"/>
        <v>0.42361111111111088</v>
      </c>
      <c r="C62" s="5">
        <f t="shared" si="4"/>
        <v>0.42708333333333309</v>
      </c>
      <c r="D62" s="32"/>
      <c r="E62" s="33"/>
      <c r="F62" s="32"/>
      <c r="G62" s="34"/>
      <c r="H62" s="35"/>
      <c r="I62" s="36"/>
      <c r="J62" s="37"/>
      <c r="K62" s="36"/>
      <c r="L62" s="37"/>
      <c r="M62" s="36"/>
      <c r="N62" s="37"/>
      <c r="O62" s="36"/>
      <c r="P62" s="37"/>
    </row>
    <row r="63" spans="1:16" ht="12.95" hidden="1" customHeight="1">
      <c r="A63" s="3" t="str">
        <f t="shared" si="0"/>
        <v/>
      </c>
      <c r="B63" s="5">
        <f t="shared" si="3"/>
        <v>0.42708333333333309</v>
      </c>
      <c r="C63" s="5">
        <f t="shared" si="4"/>
        <v>0.4305555555555553</v>
      </c>
      <c r="D63" s="32"/>
      <c r="E63" s="33"/>
      <c r="F63" s="32"/>
      <c r="G63" s="34"/>
      <c r="H63" s="35"/>
      <c r="I63" s="36"/>
      <c r="J63" s="37"/>
      <c r="K63" s="36"/>
      <c r="L63" s="37"/>
      <c r="M63" s="36"/>
      <c r="N63" s="37"/>
      <c r="O63" s="36"/>
      <c r="P63" s="37"/>
    </row>
    <row r="64" spans="1:16" ht="12.95" hidden="1" customHeight="1">
      <c r="A64" s="3" t="str">
        <f t="shared" si="0"/>
        <v/>
      </c>
      <c r="B64" s="5">
        <f t="shared" si="3"/>
        <v>0.4305555555555553</v>
      </c>
      <c r="C64" s="5">
        <f t="shared" si="4"/>
        <v>0.43402777777777751</v>
      </c>
      <c r="D64" s="32"/>
      <c r="E64" s="33"/>
      <c r="F64" s="32"/>
      <c r="G64" s="34"/>
      <c r="H64" s="35"/>
      <c r="I64" s="36"/>
      <c r="J64" s="37"/>
      <c r="K64" s="36"/>
      <c r="L64" s="37"/>
      <c r="M64" s="36"/>
      <c r="N64" s="37"/>
      <c r="O64" s="36"/>
      <c r="P64" s="37"/>
    </row>
    <row r="65" spans="1:16" ht="12.95" hidden="1" customHeight="1">
      <c r="A65" s="3" t="str">
        <f t="shared" si="0"/>
        <v/>
      </c>
      <c r="B65" s="5">
        <f t="shared" si="3"/>
        <v>0.43402777777777751</v>
      </c>
      <c r="C65" s="5">
        <f t="shared" si="4"/>
        <v>0.43749999999999972</v>
      </c>
      <c r="D65" s="32"/>
      <c r="E65" s="33"/>
      <c r="F65" s="32"/>
      <c r="G65" s="34"/>
      <c r="H65" s="35"/>
      <c r="I65" s="36"/>
      <c r="J65" s="37"/>
      <c r="K65" s="36"/>
      <c r="L65" s="37"/>
      <c r="M65" s="36"/>
      <c r="N65" s="37"/>
      <c r="O65" s="36"/>
      <c r="P65" s="37"/>
    </row>
    <row r="66" spans="1:16" ht="12.95" hidden="1" customHeight="1">
      <c r="A66" s="3" t="str">
        <f t="shared" si="0"/>
        <v/>
      </c>
      <c r="B66" s="5">
        <f t="shared" si="3"/>
        <v>0.43749999999999972</v>
      </c>
      <c r="C66" s="5">
        <f t="shared" si="4"/>
        <v>0.44097222222222193</v>
      </c>
      <c r="D66" s="32"/>
      <c r="E66" s="33"/>
      <c r="F66" s="32"/>
      <c r="G66" s="34"/>
      <c r="H66" s="35"/>
      <c r="I66" s="36"/>
      <c r="J66" s="37"/>
      <c r="K66" s="36"/>
      <c r="L66" s="37"/>
      <c r="M66" s="36"/>
      <c r="N66" s="37"/>
      <c r="O66" s="36"/>
      <c r="P66" s="37"/>
    </row>
    <row r="67" spans="1:16" ht="12.95" hidden="1" customHeight="1">
      <c r="A67" s="3" t="str">
        <f t="shared" ref="A67:A131" si="5">_xlfn.CONCAT(D67:N67)</f>
        <v/>
      </c>
      <c r="B67" s="5">
        <f t="shared" si="3"/>
        <v>0.44097222222222193</v>
      </c>
      <c r="C67" s="5">
        <f t="shared" si="4"/>
        <v>0.44444444444444414</v>
      </c>
      <c r="D67" s="32"/>
      <c r="E67" s="33"/>
      <c r="F67" s="32"/>
      <c r="G67" s="34"/>
      <c r="H67" s="35"/>
      <c r="I67" s="36"/>
      <c r="J67" s="37"/>
      <c r="K67" s="36"/>
      <c r="L67" s="37"/>
      <c r="M67" s="36"/>
      <c r="N67" s="37"/>
      <c r="O67" s="36"/>
      <c r="P67" s="37"/>
    </row>
    <row r="68" spans="1:16" ht="12.95" hidden="1" customHeight="1">
      <c r="A68" s="3" t="str">
        <f t="shared" si="5"/>
        <v/>
      </c>
      <c r="B68" s="5">
        <f t="shared" si="3"/>
        <v>0.44444444444444414</v>
      </c>
      <c r="C68" s="5">
        <f t="shared" si="4"/>
        <v>0.44791666666666635</v>
      </c>
      <c r="D68" s="32"/>
      <c r="E68" s="33"/>
      <c r="F68" s="32"/>
      <c r="G68" s="34"/>
      <c r="H68" s="35"/>
      <c r="I68" s="36"/>
      <c r="J68" s="37"/>
      <c r="K68" s="36"/>
      <c r="L68" s="37"/>
      <c r="M68" s="36"/>
      <c r="N68" s="37"/>
      <c r="O68" s="36"/>
      <c r="P68" s="37"/>
    </row>
    <row r="69" spans="1:16" ht="12.95" hidden="1" customHeight="1">
      <c r="A69" s="3" t="str">
        <f t="shared" si="5"/>
        <v/>
      </c>
      <c r="B69" s="5">
        <f t="shared" si="3"/>
        <v>0.44791666666666635</v>
      </c>
      <c r="C69" s="5">
        <f t="shared" si="4"/>
        <v>0.45138888888888856</v>
      </c>
      <c r="D69" s="32"/>
      <c r="E69" s="33"/>
      <c r="F69" s="32"/>
      <c r="G69" s="34"/>
      <c r="H69" s="35"/>
      <c r="I69" s="36"/>
      <c r="J69" s="37"/>
      <c r="K69" s="36"/>
      <c r="L69" s="37"/>
      <c r="M69" s="36"/>
      <c r="N69" s="37"/>
      <c r="O69" s="36"/>
      <c r="P69" s="37"/>
    </row>
    <row r="70" spans="1:16" ht="12.95" customHeight="1">
      <c r="A70" s="3" t="str">
        <f t="shared" si="5"/>
        <v>10:50 - 11:00Break</v>
      </c>
      <c r="B70" s="5">
        <f t="shared" si="3"/>
        <v>0.45138888888888856</v>
      </c>
      <c r="C70" s="5">
        <f t="shared" si="4"/>
        <v>0.45486111111111077</v>
      </c>
      <c r="D70" s="114" t="s">
        <v>25</v>
      </c>
      <c r="E70" s="14" t="s">
        <v>24</v>
      </c>
      <c r="F70" s="13"/>
      <c r="G70" s="16"/>
      <c r="H70" s="17"/>
      <c r="I70" s="18"/>
      <c r="J70" s="19"/>
      <c r="K70" s="18"/>
      <c r="L70" s="19"/>
      <c r="M70" s="18"/>
      <c r="N70" s="19"/>
      <c r="O70" s="18"/>
      <c r="P70" s="19"/>
    </row>
    <row r="71" spans="1:16" ht="12.95" hidden="1" customHeight="1" thickBot="1">
      <c r="A71" s="3" t="str">
        <f t="shared" si="5"/>
        <v/>
      </c>
      <c r="B71" s="6">
        <f t="shared" si="3"/>
        <v>0.45486111111111077</v>
      </c>
      <c r="C71" s="6">
        <f t="shared" si="4"/>
        <v>0.45833333333333298</v>
      </c>
      <c r="D71" s="13"/>
      <c r="E71" s="14"/>
      <c r="F71" s="13"/>
      <c r="G71" s="16"/>
      <c r="H71" s="17"/>
      <c r="I71" s="18"/>
      <c r="J71" s="19"/>
      <c r="K71" s="18"/>
      <c r="L71" s="19"/>
      <c r="M71" s="18"/>
      <c r="N71" s="19"/>
      <c r="O71" s="18"/>
      <c r="P71" s="19"/>
    </row>
    <row r="72" spans="1:16" ht="12.95" customHeight="1">
      <c r="A72" s="3" t="str">
        <f t="shared" si="5"/>
        <v>11:00 - 11:20Catalytic Interfaces - Check In</v>
      </c>
      <c r="B72" s="5">
        <f t="shared" si="3"/>
        <v>0.45833333333333298</v>
      </c>
      <c r="C72" s="5">
        <f t="shared" si="4"/>
        <v>0.46180555555555519</v>
      </c>
      <c r="D72" s="117" t="s">
        <v>29</v>
      </c>
      <c r="E72" s="39" t="s">
        <v>28</v>
      </c>
      <c r="F72" s="38"/>
      <c r="G72" s="40"/>
      <c r="H72" s="41"/>
      <c r="I72" s="42"/>
      <c r="J72" s="43"/>
      <c r="K72" s="42"/>
      <c r="L72" s="43"/>
      <c r="M72" s="42"/>
      <c r="N72" s="43"/>
      <c r="O72" s="42"/>
      <c r="P72" s="43"/>
    </row>
    <row r="73" spans="1:16" ht="12.95" hidden="1" customHeight="1">
      <c r="A73" s="3" t="str">
        <f t="shared" si="5"/>
        <v/>
      </c>
      <c r="B73" s="5">
        <f t="shared" si="3"/>
        <v>0.46180555555555519</v>
      </c>
      <c r="C73" s="5">
        <f t="shared" si="4"/>
        <v>0.4652777777777774</v>
      </c>
      <c r="D73" s="38"/>
      <c r="E73" s="39"/>
      <c r="F73" s="38"/>
      <c r="G73" s="40"/>
      <c r="H73" s="41"/>
      <c r="I73" s="42"/>
      <c r="J73" s="43"/>
      <c r="K73" s="42"/>
      <c r="L73" s="43"/>
      <c r="M73" s="42"/>
      <c r="N73" s="43"/>
      <c r="O73" s="42"/>
      <c r="P73" s="43"/>
    </row>
    <row r="74" spans="1:16" ht="12.95" hidden="1" customHeight="1">
      <c r="A74" s="3" t="str">
        <f t="shared" si="5"/>
        <v/>
      </c>
      <c r="B74" s="5">
        <f t="shared" si="3"/>
        <v>0.4652777777777774</v>
      </c>
      <c r="C74" s="5">
        <f t="shared" si="4"/>
        <v>0.46874999999999961</v>
      </c>
      <c r="D74" s="38"/>
      <c r="E74" s="39"/>
      <c r="F74" s="38"/>
      <c r="G74" s="40"/>
      <c r="H74" s="41"/>
      <c r="I74" s="42"/>
      <c r="J74" s="43"/>
      <c r="K74" s="42"/>
      <c r="L74" s="43"/>
      <c r="M74" s="42"/>
      <c r="N74" s="43"/>
      <c r="O74" s="42"/>
      <c r="P74" s="43"/>
    </row>
    <row r="75" spans="1:16" ht="12.95" hidden="1" customHeight="1">
      <c r="A75" s="3" t="str">
        <f t="shared" si="5"/>
        <v/>
      </c>
      <c r="B75" s="5">
        <f t="shared" si="3"/>
        <v>0.46874999999999961</v>
      </c>
      <c r="C75" s="5">
        <f t="shared" si="4"/>
        <v>0.47222222222222182</v>
      </c>
      <c r="D75" s="38"/>
      <c r="E75" s="39"/>
      <c r="F75" s="38"/>
      <c r="G75" s="40"/>
      <c r="H75" s="41"/>
      <c r="I75" s="42"/>
      <c r="J75" s="43"/>
      <c r="K75" s="42"/>
      <c r="L75" s="43"/>
      <c r="M75" s="42"/>
      <c r="N75" s="43"/>
      <c r="O75" s="42"/>
      <c r="P75" s="43"/>
    </row>
    <row r="76" spans="1:16" ht="12.95" customHeight="1">
      <c r="A76" s="3" t="str">
        <f t="shared" si="5"/>
        <v>11:20 - 12:30Speaker-driven Selected Paper Session 1:
INTELLIGENT ROBOTIC ASSEMBLY11:20 - 11:25intro</v>
      </c>
      <c r="B76" s="5">
        <f t="shared" si="3"/>
        <v>0.47222222222222182</v>
      </c>
      <c r="C76" s="5">
        <f t="shared" si="4"/>
        <v>0.47569444444444403</v>
      </c>
      <c r="D76" s="118" t="s">
        <v>34</v>
      </c>
      <c r="E76" s="45" t="s">
        <v>319</v>
      </c>
      <c r="F76" s="44" t="s">
        <v>36</v>
      </c>
      <c r="G76" s="46"/>
      <c r="H76" s="47" t="s">
        <v>37</v>
      </c>
      <c r="I76" s="48"/>
      <c r="J76" s="49"/>
      <c r="K76" s="48"/>
      <c r="L76" s="49"/>
      <c r="M76" s="48"/>
      <c r="N76" s="49"/>
      <c r="O76" s="48"/>
      <c r="P76" s="49"/>
    </row>
    <row r="77" spans="1:16" ht="12.95" customHeight="1">
      <c r="A77" s="3" t="str">
        <f t="shared" si="5"/>
        <v>11:25 - 11:40238DESIGN VALIDATION FOR ROBOTIC FABRICATION: A MULTI-STAGE FRAMEWORK FOR COMPLEX AND NON-REPETITIVE PROCESSES (EDITED)
By Pok Yin Victor Leung and Yijiang Huang</v>
      </c>
      <c r="B77" s="5">
        <f t="shared" si="3"/>
        <v>0.47569444444444403</v>
      </c>
      <c r="C77" s="5">
        <f t="shared" si="4"/>
        <v>0.47916666666666624</v>
      </c>
      <c r="D77" s="118"/>
      <c r="E77" s="50"/>
      <c r="F77" s="51" t="s">
        <v>38</v>
      </c>
      <c r="G77" s="46">
        <v>238</v>
      </c>
      <c r="H77" s="52" t="s">
        <v>320</v>
      </c>
      <c r="I77" s="48"/>
      <c r="J77" s="53"/>
      <c r="K77" s="48"/>
      <c r="L77" s="53"/>
      <c r="M77" s="48"/>
      <c r="N77" s="53"/>
      <c r="O77" s="48"/>
      <c r="P77" s="53"/>
    </row>
    <row r="78" spans="1:16" ht="12.95" hidden="1" customHeight="1">
      <c r="A78" s="3" t="str">
        <f t="shared" si="5"/>
        <v/>
      </c>
      <c r="B78" s="5">
        <f t="shared" si="3"/>
        <v>0.47916666666666624</v>
      </c>
      <c r="C78" s="5">
        <f t="shared" si="4"/>
        <v>0.48263888888888845</v>
      </c>
      <c r="D78" s="44"/>
      <c r="E78" s="50"/>
      <c r="F78" s="44"/>
      <c r="G78" s="46"/>
      <c r="H78" s="47"/>
      <c r="I78" s="48"/>
      <c r="J78" s="49"/>
      <c r="K78" s="48"/>
      <c r="L78" s="49"/>
      <c r="M78" s="48"/>
      <c r="N78" s="49"/>
      <c r="O78" s="48"/>
      <c r="P78" s="49"/>
    </row>
    <row r="79" spans="1:16" ht="12.95" hidden="1" customHeight="1">
      <c r="A79" s="3" t="str">
        <f t="shared" si="5"/>
        <v/>
      </c>
      <c r="B79" s="5">
        <f t="shared" si="3"/>
        <v>0.48263888888888845</v>
      </c>
      <c r="C79" s="5">
        <f t="shared" si="4"/>
        <v>0.48611111111111066</v>
      </c>
      <c r="D79" s="44"/>
      <c r="E79" s="50"/>
      <c r="F79" s="44"/>
      <c r="G79" s="46"/>
      <c r="H79" s="47"/>
      <c r="I79" s="48"/>
      <c r="J79" s="49"/>
      <c r="K79" s="48"/>
      <c r="L79" s="49"/>
      <c r="M79" s="48"/>
      <c r="N79" s="49"/>
      <c r="O79" s="48"/>
      <c r="P79" s="49"/>
    </row>
    <row r="80" spans="1:16" ht="12.95" customHeight="1">
      <c r="A80" s="3" t="str">
        <f t="shared" si="5"/>
        <v>11:40 - 11:55349TPACS: PHYGITAL-AIDED CONSTRUCTION SYSTEM BASED ON MODULAR CUSTOMIZABLE TIMBER FABRICATION
By Yuhong Wu and Tiantian Lo</v>
      </c>
      <c r="B80" s="5">
        <f t="shared" si="3"/>
        <v>0.48611111111111066</v>
      </c>
      <c r="C80" s="5">
        <f t="shared" si="4"/>
        <v>0.48958333333333287</v>
      </c>
      <c r="D80" s="118"/>
      <c r="E80" s="50"/>
      <c r="F80" s="51" t="s">
        <v>40</v>
      </c>
      <c r="G80" s="46">
        <v>349</v>
      </c>
      <c r="H80" s="52" t="s">
        <v>41</v>
      </c>
      <c r="I80" s="48"/>
      <c r="J80" s="53"/>
      <c r="K80" s="48"/>
      <c r="L80" s="53"/>
      <c r="M80" s="48"/>
      <c r="N80" s="53"/>
      <c r="O80" s="48"/>
      <c r="P80" s="53"/>
    </row>
    <row r="81" spans="1:16" ht="12.95" hidden="1" customHeight="1">
      <c r="A81" s="3" t="str">
        <f t="shared" si="5"/>
        <v/>
      </c>
      <c r="B81" s="5">
        <f t="shared" si="3"/>
        <v>0.48958333333333287</v>
      </c>
      <c r="C81" s="5">
        <f t="shared" si="4"/>
        <v>0.49305555555555508</v>
      </c>
      <c r="D81" s="44"/>
      <c r="E81" s="50"/>
      <c r="F81" s="44"/>
      <c r="G81" s="46"/>
      <c r="H81" s="47"/>
      <c r="I81" s="48"/>
      <c r="J81" s="49"/>
      <c r="K81" s="48"/>
      <c r="L81" s="49"/>
      <c r="M81" s="48"/>
      <c r="N81" s="49"/>
      <c r="O81" s="48"/>
      <c r="P81" s="49"/>
    </row>
    <row r="82" spans="1:16" ht="12.95" hidden="1" customHeight="1">
      <c r="A82" s="3" t="str">
        <f t="shared" si="5"/>
        <v/>
      </c>
      <c r="B82" s="5">
        <f t="shared" si="3"/>
        <v>0.49305555555555508</v>
      </c>
      <c r="C82" s="5">
        <f t="shared" si="4"/>
        <v>0.49652777777777729</v>
      </c>
      <c r="D82" s="44"/>
      <c r="E82" s="50"/>
      <c r="F82" s="44"/>
      <c r="G82" s="46"/>
      <c r="H82" s="47"/>
      <c r="I82" s="48"/>
      <c r="J82" s="49"/>
      <c r="K82" s="48"/>
      <c r="L82" s="49"/>
      <c r="M82" s="48"/>
      <c r="N82" s="49"/>
      <c r="O82" s="48"/>
      <c r="P82" s="49"/>
    </row>
    <row r="83" spans="1:16" ht="12.95" customHeight="1" thickBot="1">
      <c r="A83" s="3" t="str">
        <f t="shared" si="5"/>
        <v>11:55 - 12:1036PARAMETRIC BIOMIMICRY: TRANSLATING SPIRAL SEASHELL FORMATION INTO ROBOTIC 3D PRINTING
By Ali Farajmandi and Negar Kalantar</v>
      </c>
      <c r="B83" s="6">
        <f t="shared" si="3"/>
        <v>0.49652777777777729</v>
      </c>
      <c r="C83" s="6">
        <f t="shared" si="4"/>
        <v>0.4999999999999995</v>
      </c>
      <c r="D83" s="118"/>
      <c r="E83" s="50"/>
      <c r="F83" s="51" t="s">
        <v>42</v>
      </c>
      <c r="G83" s="46">
        <v>36</v>
      </c>
      <c r="H83" s="52" t="s">
        <v>43</v>
      </c>
      <c r="I83" s="48"/>
      <c r="J83" s="53"/>
      <c r="K83" s="48"/>
      <c r="L83" s="53"/>
      <c r="M83" s="48"/>
      <c r="N83" s="53"/>
      <c r="O83" s="48"/>
      <c r="P83" s="53"/>
    </row>
    <row r="84" spans="1:16" ht="12.95" hidden="1" customHeight="1">
      <c r="A84" s="3" t="str">
        <f t="shared" si="5"/>
        <v/>
      </c>
      <c r="B84" s="5">
        <f t="shared" si="3"/>
        <v>0.4999999999999995</v>
      </c>
      <c r="C84" s="5">
        <f t="shared" si="4"/>
        <v>0.50347222222222177</v>
      </c>
      <c r="D84" s="44"/>
      <c r="E84" s="50"/>
      <c r="F84" s="44"/>
      <c r="G84" s="46"/>
      <c r="H84" s="47"/>
      <c r="I84" s="48"/>
      <c r="J84" s="49"/>
      <c r="K84" s="48"/>
      <c r="L84" s="49"/>
      <c r="M84" s="48"/>
      <c r="N84" s="49"/>
      <c r="O84" s="48"/>
      <c r="P84" s="49"/>
    </row>
    <row r="85" spans="1:16" ht="12.95" hidden="1" customHeight="1">
      <c r="A85" s="3" t="str">
        <f t="shared" si="5"/>
        <v/>
      </c>
      <c r="B85" s="5">
        <f t="shared" si="3"/>
        <v>0.50347222222222177</v>
      </c>
      <c r="C85" s="5">
        <f t="shared" si="4"/>
        <v>0.50694444444444398</v>
      </c>
      <c r="D85" s="44"/>
      <c r="E85" s="50"/>
      <c r="F85" s="44"/>
      <c r="G85" s="46"/>
      <c r="H85" s="47"/>
      <c r="I85" s="48"/>
      <c r="J85" s="49"/>
      <c r="K85" s="48"/>
      <c r="L85" s="49"/>
      <c r="M85" s="48"/>
      <c r="N85" s="49"/>
      <c r="O85" s="48"/>
      <c r="P85" s="49"/>
    </row>
    <row r="86" spans="1:16" ht="12.95" customHeight="1">
      <c r="A86" s="3" t="str">
        <f t="shared" si="5"/>
        <v>12:10 - 12:30Discussion</v>
      </c>
      <c r="B86" s="5">
        <f t="shared" si="3"/>
        <v>0.50694444444444398</v>
      </c>
      <c r="C86" s="5">
        <f t="shared" si="4"/>
        <v>0.51041666666666619</v>
      </c>
      <c r="D86" s="118"/>
      <c r="E86" s="50"/>
      <c r="F86" s="51" t="s">
        <v>44</v>
      </c>
      <c r="G86" s="46"/>
      <c r="H86" s="52" t="s">
        <v>45</v>
      </c>
      <c r="I86" s="48"/>
      <c r="J86" s="53"/>
      <c r="K86" s="48"/>
      <c r="L86" s="53"/>
      <c r="M86" s="48"/>
      <c r="N86" s="53"/>
      <c r="O86" s="48"/>
      <c r="P86" s="53"/>
    </row>
    <row r="87" spans="1:16" ht="12.95" hidden="1" customHeight="1">
      <c r="A87" s="3" t="str">
        <f t="shared" si="5"/>
        <v/>
      </c>
      <c r="B87" s="5">
        <f t="shared" si="3"/>
        <v>0.51041666666666619</v>
      </c>
      <c r="C87" s="5">
        <f t="shared" si="4"/>
        <v>0.5138888888888884</v>
      </c>
      <c r="D87" s="44"/>
      <c r="E87" s="50"/>
      <c r="F87" s="44"/>
      <c r="G87" s="46"/>
      <c r="H87" s="47"/>
      <c r="I87" s="48"/>
      <c r="J87" s="49"/>
      <c r="K87" s="48"/>
      <c r="L87" s="49"/>
      <c r="M87" s="48"/>
      <c r="N87" s="49"/>
      <c r="O87" s="48"/>
      <c r="P87" s="49"/>
    </row>
    <row r="88" spans="1:16" ht="12.95" hidden="1" customHeight="1">
      <c r="A88" s="3" t="str">
        <f t="shared" si="5"/>
        <v/>
      </c>
      <c r="B88" s="5">
        <f t="shared" si="3"/>
        <v>0.5138888888888884</v>
      </c>
      <c r="C88" s="5">
        <f t="shared" si="4"/>
        <v>0.51736111111111061</v>
      </c>
      <c r="D88" s="44"/>
      <c r="E88" s="50"/>
      <c r="F88" s="44"/>
      <c r="G88" s="46"/>
      <c r="H88" s="47"/>
      <c r="I88" s="48"/>
      <c r="J88" s="49"/>
      <c r="K88" s="48"/>
      <c r="L88" s="49"/>
      <c r="M88" s="48"/>
      <c r="N88" s="49"/>
      <c r="O88" s="48"/>
      <c r="P88" s="49"/>
    </row>
    <row r="89" spans="1:16" ht="12.95" hidden="1" customHeight="1">
      <c r="A89" s="3" t="str">
        <f t="shared" si="5"/>
        <v/>
      </c>
      <c r="B89" s="5">
        <f t="shared" si="3"/>
        <v>0.51736111111111061</v>
      </c>
      <c r="C89" s="5">
        <f t="shared" si="4"/>
        <v>0.52083333333333282</v>
      </c>
      <c r="D89" s="44"/>
      <c r="E89" s="50"/>
      <c r="F89" s="44"/>
      <c r="G89" s="46"/>
      <c r="H89" s="47"/>
      <c r="I89" s="48"/>
      <c r="J89" s="49"/>
      <c r="K89" s="48"/>
      <c r="L89" s="49"/>
      <c r="M89" s="48"/>
      <c r="N89" s="49"/>
      <c r="O89" s="48"/>
      <c r="P89" s="49"/>
    </row>
    <row r="90" spans="1:16" ht="12.95" customHeight="1">
      <c r="A90" s="3" t="str">
        <f t="shared" si="5"/>
        <v>12:30 - 13:10Lunch Break / Poster Viewing</v>
      </c>
      <c r="B90" s="5">
        <f t="shared" si="3"/>
        <v>0.52083333333333282</v>
      </c>
      <c r="C90" s="5">
        <f t="shared" si="4"/>
        <v>0.52430555555555503</v>
      </c>
      <c r="D90" s="115" t="s">
        <v>47</v>
      </c>
      <c r="E90" s="21" t="s">
        <v>46</v>
      </c>
      <c r="F90" s="20"/>
      <c r="G90" s="22"/>
      <c r="H90" s="23"/>
      <c r="I90" s="24"/>
      <c r="J90" s="25"/>
      <c r="K90" s="24"/>
      <c r="L90" s="25"/>
      <c r="M90" s="24"/>
      <c r="N90" s="25"/>
      <c r="O90" s="24"/>
      <c r="P90" s="25"/>
    </row>
    <row r="91" spans="1:16" ht="12.95" hidden="1" customHeight="1">
      <c r="A91" s="3" t="str">
        <f t="shared" si="5"/>
        <v/>
      </c>
      <c r="B91" s="5">
        <f t="shared" si="3"/>
        <v>0.52430555555555503</v>
      </c>
      <c r="C91" s="5">
        <f t="shared" si="4"/>
        <v>0.52777777777777724</v>
      </c>
      <c r="D91" s="20"/>
      <c r="E91" s="21"/>
      <c r="F91" s="20"/>
      <c r="G91" s="22"/>
      <c r="H91" s="23"/>
      <c r="I91" s="24"/>
      <c r="J91" s="25"/>
      <c r="K91" s="24"/>
      <c r="L91" s="25"/>
      <c r="M91" s="24"/>
      <c r="N91" s="25"/>
      <c r="O91" s="24"/>
      <c r="P91" s="25"/>
    </row>
    <row r="92" spans="1:16" ht="12.95" hidden="1" customHeight="1">
      <c r="A92" s="3" t="str">
        <f t="shared" si="5"/>
        <v/>
      </c>
      <c r="B92" s="5">
        <f t="shared" si="3"/>
        <v>0.52777777777777724</v>
      </c>
      <c r="C92" s="5">
        <f t="shared" si="4"/>
        <v>0.53124999999999944</v>
      </c>
      <c r="D92" s="20"/>
      <c r="E92" s="21"/>
      <c r="F92" s="20"/>
      <c r="G92" s="22"/>
      <c r="H92" s="23"/>
      <c r="I92" s="24"/>
      <c r="J92" s="25"/>
      <c r="K92" s="24"/>
      <c r="L92" s="25"/>
      <c r="M92" s="24"/>
      <c r="N92" s="25"/>
      <c r="O92" s="24"/>
      <c r="P92" s="25"/>
    </row>
    <row r="93" spans="1:16" ht="12.95" hidden="1" customHeight="1">
      <c r="A93" s="3" t="str">
        <f t="shared" si="5"/>
        <v/>
      </c>
      <c r="B93" s="5">
        <f t="shared" si="3"/>
        <v>0.53124999999999944</v>
      </c>
      <c r="C93" s="5">
        <f t="shared" si="4"/>
        <v>0.53472222222222165</v>
      </c>
      <c r="D93" s="20"/>
      <c r="E93" s="21"/>
      <c r="F93" s="20"/>
      <c r="G93" s="22"/>
      <c r="H93" s="23"/>
      <c r="I93" s="24"/>
      <c r="J93" s="25"/>
      <c r="K93" s="24"/>
      <c r="L93" s="25"/>
      <c r="M93" s="24"/>
      <c r="N93" s="25"/>
      <c r="O93" s="24"/>
      <c r="P93" s="25"/>
    </row>
    <row r="94" spans="1:16" ht="12.95" hidden="1" customHeight="1">
      <c r="A94" s="3" t="str">
        <f t="shared" si="5"/>
        <v/>
      </c>
      <c r="B94" s="5">
        <f t="shared" si="3"/>
        <v>0.53472222222222165</v>
      </c>
      <c r="C94" s="5">
        <f t="shared" si="4"/>
        <v>0.53819444444444386</v>
      </c>
      <c r="D94" s="20"/>
      <c r="E94" s="21"/>
      <c r="F94" s="20"/>
      <c r="G94" s="22"/>
      <c r="H94" s="23"/>
      <c r="I94" s="24"/>
      <c r="J94" s="25"/>
      <c r="K94" s="24"/>
      <c r="L94" s="25"/>
      <c r="M94" s="24"/>
      <c r="N94" s="25"/>
      <c r="O94" s="24"/>
      <c r="P94" s="25"/>
    </row>
    <row r="95" spans="1:16" ht="12.95" hidden="1" customHeight="1" thickBot="1">
      <c r="A95" s="3" t="str">
        <f t="shared" si="5"/>
        <v/>
      </c>
      <c r="B95" s="6">
        <f t="shared" si="3"/>
        <v>0.53819444444444386</v>
      </c>
      <c r="C95" s="6">
        <f t="shared" si="4"/>
        <v>0.54166666666666607</v>
      </c>
      <c r="D95" s="20"/>
      <c r="E95" s="21"/>
      <c r="F95" s="20"/>
      <c r="G95" s="22"/>
      <c r="H95" s="23"/>
      <c r="I95" s="24"/>
      <c r="J95" s="25"/>
      <c r="K95" s="24"/>
      <c r="L95" s="25"/>
      <c r="M95" s="24"/>
      <c r="N95" s="25"/>
      <c r="O95" s="24"/>
      <c r="P95" s="25"/>
    </row>
    <row r="96" spans="1:16" ht="12.95" hidden="1" customHeight="1">
      <c r="A96" s="3" t="str">
        <f t="shared" si="5"/>
        <v/>
      </c>
      <c r="B96" s="5">
        <f t="shared" si="3"/>
        <v>0.54166666666666607</v>
      </c>
      <c r="C96" s="5">
        <f t="shared" si="4"/>
        <v>0.54513888888888828</v>
      </c>
      <c r="D96" s="20"/>
      <c r="E96" s="21"/>
      <c r="F96" s="20"/>
      <c r="G96" s="22"/>
      <c r="H96" s="23"/>
      <c r="I96" s="24"/>
      <c r="J96" s="25"/>
      <c r="K96" s="24"/>
      <c r="L96" s="25"/>
      <c r="M96" s="24"/>
      <c r="N96" s="25"/>
      <c r="O96" s="24"/>
      <c r="P96" s="25"/>
    </row>
    <row r="97" spans="1:16" ht="12.95" hidden="1" customHeight="1">
      <c r="A97" s="3" t="str">
        <f t="shared" si="5"/>
        <v/>
      </c>
      <c r="B97" s="5">
        <f t="shared" si="3"/>
        <v>0.54513888888888828</v>
      </c>
      <c r="C97" s="5">
        <f t="shared" si="4"/>
        <v>0.54861111111111049</v>
      </c>
      <c r="D97" s="20"/>
      <c r="E97" s="21"/>
      <c r="F97" s="20"/>
      <c r="G97" s="22"/>
      <c r="H97" s="23"/>
      <c r="I97" s="24"/>
      <c r="J97" s="25"/>
      <c r="K97" s="24"/>
      <c r="L97" s="25"/>
      <c r="M97" s="24"/>
      <c r="N97" s="25"/>
      <c r="O97" s="24"/>
      <c r="P97" s="25"/>
    </row>
    <row r="98" spans="1:16" ht="12.95" customHeight="1">
      <c r="A98" s="3" t="str">
        <f>_xlfn.CONCAT(D98:N98)</f>
        <v>A. URBAN PERCEPTIONS &amp; PATTERNSB. AUGMENTING DESIGN GENERATIONC. INTELLIGENT ROBOTICS &amp; LAYOUT PLANNING</v>
      </c>
      <c r="B98" s="5"/>
      <c r="C98" s="5"/>
      <c r="D98" s="119"/>
      <c r="E98" s="55"/>
      <c r="F98" s="54"/>
      <c r="G98" s="56"/>
      <c r="H98" s="57"/>
      <c r="I98" s="94"/>
      <c r="J98" s="95" t="s">
        <v>321</v>
      </c>
      <c r="K98" s="94"/>
      <c r="L98" s="95" t="s">
        <v>322</v>
      </c>
      <c r="M98" s="94"/>
      <c r="N98" s="95" t="s">
        <v>323</v>
      </c>
      <c r="O98" s="94"/>
      <c r="P98" s="95" t="s">
        <v>324</v>
      </c>
    </row>
    <row r="99" spans="1:16" ht="12.95" customHeight="1">
      <c r="A99" s="3" t="str">
        <f t="shared" si="5"/>
        <v>13:10 - 14:00Parallel Paper Presentations:13:10 - 13:20Presentation 15SUPERIORITY OF HIGH-DIMENSIONAL LATENT VARIABLE REPRESENTATION IN URBAN SPATIAL STRUCTURE: EVIDENCE FROM AN URBAN CLIMATE STUDY
By Yanting Shen, Mengqing Yu, Chenyu Huang and Jiawei Yao169REC-ARCH: A CASE STUDY RECOMMENDER SYSTEM FOR ARCHITECTS USING VISION AND LANGUAGE MODELS
By Danrui Li, Yichao Shi, Yaluo Wang, Ziying Shi and Mubbasir Kapadia87MACHINE LEARNING AND MIXED REALITY-CONTROLLED CABLE ROBOTS FOR REAL-TIME CONSTRUCTION AUTOMATION
By Qi Wang, Zhiyong Dong, Maowei Jiang and Peter Búš</v>
      </c>
      <c r="B99" s="5">
        <f>C97</f>
        <v>0.54861111111111049</v>
      </c>
      <c r="C99" s="5">
        <f t="shared" si="4"/>
        <v>0.5520833333333327</v>
      </c>
      <c r="D99" s="119" t="s">
        <v>50</v>
      </c>
      <c r="E99" s="55" t="s">
        <v>325</v>
      </c>
      <c r="F99" s="54" t="s">
        <v>54</v>
      </c>
      <c r="G99" s="56"/>
      <c r="H99" s="57" t="s">
        <v>326</v>
      </c>
      <c r="I99" s="58">
        <v>5</v>
      </c>
      <c r="J99" s="59" t="s">
        <v>55</v>
      </c>
      <c r="K99" s="58">
        <v>169</v>
      </c>
      <c r="L99" s="59" t="s">
        <v>65</v>
      </c>
      <c r="M99" s="58">
        <v>87</v>
      </c>
      <c r="N99" s="59" t="s">
        <v>77</v>
      </c>
      <c r="O99" s="58">
        <v>447</v>
      </c>
      <c r="P99" s="59" t="s">
        <v>85</v>
      </c>
    </row>
    <row r="100" spans="1:16" ht="12.95" hidden="1" customHeight="1">
      <c r="A100" s="3" t="str">
        <f t="shared" si="5"/>
        <v/>
      </c>
      <c r="B100" s="5">
        <f t="shared" si="3"/>
        <v>0.5520833333333327</v>
      </c>
      <c r="C100" s="5">
        <f t="shared" si="4"/>
        <v>0.55555555555555491</v>
      </c>
      <c r="D100" s="54"/>
      <c r="E100" s="55"/>
      <c r="F100" s="54"/>
      <c r="G100" s="56"/>
      <c r="H100" s="57"/>
      <c r="I100" s="58"/>
      <c r="J100" s="59"/>
      <c r="K100" s="58"/>
      <c r="L100" s="59"/>
      <c r="M100" s="58"/>
      <c r="N100" s="59"/>
      <c r="O100" s="58"/>
      <c r="P100" s="59"/>
    </row>
    <row r="101" spans="1:16" ht="12.95" customHeight="1">
      <c r="A101" s="3" t="str">
        <f t="shared" si="5"/>
        <v>13:20 - 13:30Presentation 246BOUNDARY VITALITY: ANALYZING URBAN PUBLIC PERCEPTION OF SPATIAL AND VISUAL ELEMENTS IN MANHATTAN
By Yutong Wu, Jiani Du, Zhao Zhang and Han Tu41COLLABORATIVE, CONVERSATIONAL ARCHITECTURAL DESIGN PROCESS BETWEEN HUMAN DESIGNERS AND MULTIMODAL AI AGENTS FOR EARLY-STAGE DESIGN EXPLORATION
By Lok Hang Cheung, Likai Wang and Juan Carlos Dall'Asta149ENHANCING ROBOTIC EMBODIMENT IN ARCHITECTURE: AN INTELLIGENT APPROACH COMBINING VISION SYSTEMS AND GENERATIVE NEURAL NETWORKS FOR AUTONOMOUS DESIGN-TO-PRODUCTION
By Zhiyong Dong, Qi Wang, Maowei Jiang and Peter Búš</v>
      </c>
      <c r="B101" s="5">
        <f t="shared" si="3"/>
        <v>0.55555555555555491</v>
      </c>
      <c r="C101" s="5">
        <f t="shared" si="4"/>
        <v>0.55902777777777712</v>
      </c>
      <c r="D101" s="119"/>
      <c r="E101" s="55"/>
      <c r="F101" s="54" t="s">
        <v>56</v>
      </c>
      <c r="G101" s="56"/>
      <c r="H101" s="57" t="s">
        <v>327</v>
      </c>
      <c r="I101" s="58">
        <v>46</v>
      </c>
      <c r="J101" s="59" t="s">
        <v>57</v>
      </c>
      <c r="K101" s="58">
        <v>41</v>
      </c>
      <c r="L101" s="59" t="s">
        <v>68</v>
      </c>
      <c r="M101" s="58">
        <v>149</v>
      </c>
      <c r="N101" s="59" t="s">
        <v>78</v>
      </c>
      <c r="O101" s="58">
        <v>48</v>
      </c>
      <c r="P101" s="59" t="s">
        <v>328</v>
      </c>
    </row>
    <row r="102" spans="1:16" ht="12.95" hidden="1" customHeight="1">
      <c r="A102" s="3" t="str">
        <f t="shared" si="5"/>
        <v/>
      </c>
      <c r="B102" s="5">
        <f t="shared" si="3"/>
        <v>0.55902777777777712</v>
      </c>
      <c r="C102" s="5">
        <f t="shared" si="4"/>
        <v>0.56249999999999933</v>
      </c>
      <c r="D102" s="54"/>
      <c r="E102" s="55"/>
      <c r="F102" s="54"/>
      <c r="G102" s="56"/>
      <c r="H102" s="57"/>
      <c r="I102" s="58"/>
      <c r="J102" s="59"/>
      <c r="K102" s="58"/>
      <c r="L102" s="59"/>
      <c r="M102" s="58"/>
      <c r="N102" s="59"/>
      <c r="O102" s="58"/>
      <c r="P102" s="59"/>
    </row>
    <row r="103" spans="1:16" ht="12.95" customHeight="1">
      <c r="A103" s="3" t="str">
        <f t="shared" si="5"/>
        <v>13:30 - 13:40Presentation 3240ENHANCING END-TO-END PROCESSING, ANALYSIS, AND VISUALIZATION OF CITIZEN PARTICIPATION DATA IN URBAN DESIGN AND PLANNING
By Cem Ataman, Simon Perrault and Bige Tuncer255TWO-WAY INTERVENTIVE DESIGN AND MANUFACTURING: REAL-TIME DESIGN AND MATERIALITY VISUALIZATION THROUGH MIXED REALITY SYSTEMS BASED ON HAND TRACKING
By Jiaxiang Luo and Tian Tian Lo252GRASP-TO-MILL (GTM) INTEGRATED WORKFLOW FOR NATURAL LOG JOINT FABRICATION BASED ON MULTI-OBJECTIVE OPTIMIZATION ALGORITHM
By Yalei Zhu et al.</v>
      </c>
      <c r="B103" s="5">
        <f t="shared" si="3"/>
        <v>0.56249999999999933</v>
      </c>
      <c r="C103" s="5">
        <f t="shared" si="4"/>
        <v>0.56597222222222154</v>
      </c>
      <c r="D103" s="119"/>
      <c r="E103" s="55"/>
      <c r="F103" s="54" t="s">
        <v>58</v>
      </c>
      <c r="G103" s="56"/>
      <c r="H103" s="57" t="s">
        <v>329</v>
      </c>
      <c r="I103" s="58">
        <v>240</v>
      </c>
      <c r="J103" s="59" t="s">
        <v>59</v>
      </c>
      <c r="K103" s="58">
        <v>255</v>
      </c>
      <c r="L103" s="59" t="s">
        <v>70</v>
      </c>
      <c r="M103" s="58">
        <v>252</v>
      </c>
      <c r="N103" s="59" t="s">
        <v>330</v>
      </c>
      <c r="O103" s="58">
        <v>162</v>
      </c>
      <c r="P103" s="59" t="s">
        <v>87</v>
      </c>
    </row>
    <row r="104" spans="1:16" ht="12.95" hidden="1" customHeight="1">
      <c r="A104" s="3" t="str">
        <f t="shared" si="5"/>
        <v/>
      </c>
      <c r="B104" s="5">
        <f t="shared" si="3"/>
        <v>0.56597222222222154</v>
      </c>
      <c r="C104" s="5">
        <f t="shared" si="4"/>
        <v>0.56944444444444375</v>
      </c>
      <c r="D104" s="54"/>
      <c r="E104" s="55"/>
      <c r="F104" s="54"/>
      <c r="G104" s="56"/>
      <c r="H104" s="57"/>
      <c r="I104" s="58"/>
      <c r="J104" s="59"/>
      <c r="K104" s="58"/>
      <c r="L104" s="59"/>
      <c r="M104" s="58"/>
      <c r="N104" s="59"/>
      <c r="O104" s="58"/>
      <c r="P104" s="59"/>
    </row>
    <row r="105" spans="1:16" ht="12.95" customHeight="1">
      <c r="A105" s="3" t="str">
        <f t="shared" si="5"/>
        <v>13:40 - 13:50Presentation 4453DEEP PERCEPTUAL URBAN FORM
By Chee Meng Chan and Frederick Kim217MORPHOLOGICAL SECTIONS THROUGH LATENT SPACE
By Xin Wang and Sam Joyce357AUGMENTED ASSEMBLY: AN EXPLORATION OF MODULAR DESIGN TO FABRICATION BASED ON EXTENDED REALITY
By Zhiyong Dong, Zhiqian Liu and Peter Búš</v>
      </c>
      <c r="B105" s="5">
        <f t="shared" si="3"/>
        <v>0.56944444444444375</v>
      </c>
      <c r="C105" s="5">
        <f t="shared" si="4"/>
        <v>0.57291666666666596</v>
      </c>
      <c r="D105" s="119"/>
      <c r="E105" s="55"/>
      <c r="F105" s="54" t="s">
        <v>60</v>
      </c>
      <c r="G105" s="56"/>
      <c r="H105" s="57" t="s">
        <v>331</v>
      </c>
      <c r="I105" s="58">
        <v>453</v>
      </c>
      <c r="J105" s="59" t="s">
        <v>61</v>
      </c>
      <c r="K105" s="58">
        <v>217</v>
      </c>
      <c r="L105" s="59" t="s">
        <v>71</v>
      </c>
      <c r="M105" s="58">
        <v>357</v>
      </c>
      <c r="N105" s="59" t="s">
        <v>80</v>
      </c>
      <c r="O105" s="58">
        <v>187</v>
      </c>
      <c r="P105" s="59" t="s">
        <v>88</v>
      </c>
    </row>
    <row r="106" spans="1:16" ht="12.95" hidden="1" customHeight="1">
      <c r="A106" s="3" t="str">
        <f t="shared" si="5"/>
        <v/>
      </c>
      <c r="B106" s="5">
        <f t="shared" si="3"/>
        <v>0.57291666666666596</v>
      </c>
      <c r="C106" s="5">
        <f t="shared" si="4"/>
        <v>0.57638888888888817</v>
      </c>
      <c r="D106" s="54"/>
      <c r="E106" s="55"/>
      <c r="F106" s="54"/>
      <c r="G106" s="56"/>
      <c r="H106" s="57"/>
      <c r="I106" s="58"/>
      <c r="J106" s="59"/>
      <c r="K106" s="58"/>
      <c r="L106" s="59"/>
      <c r="M106" s="58"/>
      <c r="N106" s="59"/>
      <c r="O106" s="58"/>
      <c r="P106" s="59"/>
    </row>
    <row r="107" spans="1:16" ht="12.95" customHeight="1">
      <c r="A107" s="3" t="str">
        <f t="shared" si="5"/>
        <v>13:50 - 14:00Presentation 5141INTEGRATING AI TOOLS AND METHODS IN THE DESIGN PROCESS
By Jaechang Ko, Sora Key and Mark Clayton222STOCK-CONSTRAINED DESIGN OF IRREGULAR MATERIAL BASED ON GRAPH NEURAL NETWORKS
By Qinhui Yang, Hua Chai and Philip F. Yuan</v>
      </c>
      <c r="B107" s="5">
        <f t="shared" si="3"/>
        <v>0.57638888888888817</v>
      </c>
      <c r="C107" s="5">
        <f t="shared" si="4"/>
        <v>0.57986111111111038</v>
      </c>
      <c r="D107" s="119"/>
      <c r="E107" s="55"/>
      <c r="F107" s="54" t="s">
        <v>72</v>
      </c>
      <c r="G107" s="56"/>
      <c r="H107" s="57" t="s">
        <v>332</v>
      </c>
      <c r="I107" s="58"/>
      <c r="J107" s="59"/>
      <c r="K107" s="58">
        <v>141</v>
      </c>
      <c r="L107" s="59" t="s">
        <v>73</v>
      </c>
      <c r="M107" s="58">
        <v>222</v>
      </c>
      <c r="N107" s="59" t="s">
        <v>81</v>
      </c>
      <c r="O107" s="58">
        <v>127</v>
      </c>
      <c r="P107" s="59" t="s">
        <v>89</v>
      </c>
    </row>
    <row r="108" spans="1:16" ht="12.95" hidden="1" customHeight="1" thickBot="1">
      <c r="A108" s="3" t="str">
        <f t="shared" si="5"/>
        <v/>
      </c>
      <c r="B108" s="6">
        <f t="shared" ref="B108:B168" si="6">C107</f>
        <v>0.57986111111111038</v>
      </c>
      <c r="C108" s="6">
        <f t="shared" ref="C108:C168" si="7">B108+TIME(0,5,0)</f>
        <v>0.58333333333333259</v>
      </c>
      <c r="D108" s="54"/>
      <c r="E108" s="55"/>
      <c r="F108" s="54"/>
      <c r="G108" s="56"/>
      <c r="H108" s="57"/>
      <c r="I108" s="58"/>
      <c r="J108" s="60"/>
      <c r="K108" s="58"/>
      <c r="L108" s="60"/>
      <c r="M108" s="58"/>
      <c r="N108" s="60"/>
      <c r="O108" s="58"/>
      <c r="P108" s="60"/>
    </row>
    <row r="109" spans="1:16" ht="12.95" customHeight="1">
      <c r="A109" s="3" t="str">
        <f t="shared" si="5"/>
        <v>14:00 - 14:20Break</v>
      </c>
      <c r="B109" s="5">
        <f t="shared" si="6"/>
        <v>0.58333333333333259</v>
      </c>
      <c r="C109" s="5">
        <f t="shared" si="7"/>
        <v>0.5868055555555548</v>
      </c>
      <c r="D109" s="114" t="s">
        <v>90</v>
      </c>
      <c r="E109" s="14" t="s">
        <v>24</v>
      </c>
      <c r="F109" s="13"/>
      <c r="G109" s="16"/>
      <c r="H109" s="17"/>
      <c r="I109" s="18"/>
      <c r="J109" s="19"/>
      <c r="K109" s="18"/>
      <c r="L109" s="19"/>
      <c r="M109" s="18"/>
      <c r="N109" s="19"/>
      <c r="O109" s="18"/>
      <c r="P109" s="19"/>
    </row>
    <row r="110" spans="1:16" ht="12.95" hidden="1" customHeight="1">
      <c r="A110" s="3" t="str">
        <f t="shared" si="5"/>
        <v/>
      </c>
      <c r="B110" s="5">
        <f t="shared" si="6"/>
        <v>0.5868055555555548</v>
      </c>
      <c r="C110" s="5">
        <f t="shared" si="7"/>
        <v>0.59027777777777701</v>
      </c>
      <c r="D110" s="13"/>
      <c r="E110" s="14"/>
      <c r="F110" s="13"/>
      <c r="G110" s="16"/>
      <c r="H110" s="17"/>
      <c r="I110" s="18"/>
      <c r="J110" s="19"/>
      <c r="K110" s="18"/>
      <c r="L110" s="19"/>
      <c r="M110" s="18"/>
      <c r="N110" s="19"/>
      <c r="O110" s="18"/>
      <c r="P110" s="19"/>
    </row>
    <row r="111" spans="1:16" ht="12.95" hidden="1" customHeight="1">
      <c r="A111" s="3" t="str">
        <f t="shared" si="5"/>
        <v/>
      </c>
      <c r="B111" s="5">
        <f t="shared" si="6"/>
        <v>0.59027777777777701</v>
      </c>
      <c r="C111" s="5">
        <f t="shared" si="7"/>
        <v>0.59374999999999922</v>
      </c>
      <c r="D111" s="13"/>
      <c r="E111" s="14"/>
      <c r="F111" s="13"/>
      <c r="G111" s="16"/>
      <c r="H111" s="17"/>
      <c r="I111" s="18"/>
      <c r="J111" s="19"/>
      <c r="K111" s="18"/>
      <c r="L111" s="19"/>
      <c r="M111" s="18"/>
      <c r="N111" s="19"/>
      <c r="O111" s="18"/>
      <c r="P111" s="19"/>
    </row>
    <row r="112" spans="1:16" ht="12.95" hidden="1" customHeight="1">
      <c r="A112" s="3" t="str">
        <f t="shared" si="5"/>
        <v/>
      </c>
      <c r="B112" s="5">
        <f t="shared" si="6"/>
        <v>0.59374999999999922</v>
      </c>
      <c r="C112" s="5">
        <f t="shared" si="7"/>
        <v>0.59722222222222143</v>
      </c>
      <c r="D112" s="13"/>
      <c r="E112" s="14"/>
      <c r="F112" s="13"/>
      <c r="G112" s="16"/>
      <c r="H112" s="17"/>
      <c r="I112" s="18"/>
      <c r="J112" s="19"/>
      <c r="K112" s="18"/>
      <c r="L112" s="19"/>
      <c r="M112" s="18"/>
      <c r="N112" s="19"/>
      <c r="O112" s="18"/>
      <c r="P112" s="19"/>
    </row>
    <row r="113" spans="1:16" ht="12.95" customHeight="1">
      <c r="A113" s="3" t="str">
        <f t="shared" si="5"/>
        <v>14:20 - 15:20Selected Paper Session 1:
INTELLIGENT BUILDING LAYOUT 14:20 - 14:35126STEPWISE GENERATION METHOD FOR COMPETITION-LEVEL FLOOR PLANS OF MEDIUM AND LARGE-SCALE GYMNASIUMS BASED ON RULE CONSTRAINTS AND DIFFUSION MODELS
By Yufan Meng, Yetong Huang, Zhenyu Wang and Fang Zheng</v>
      </c>
      <c r="B113" s="5">
        <f t="shared" si="6"/>
        <v>0.59722222222222143</v>
      </c>
      <c r="C113" s="5">
        <f t="shared" si="7"/>
        <v>0.60069444444444364</v>
      </c>
      <c r="D113" s="120" t="s">
        <v>95</v>
      </c>
      <c r="E113" s="62" t="s">
        <v>333</v>
      </c>
      <c r="F113" s="63" t="s">
        <v>97</v>
      </c>
      <c r="G113" s="64">
        <v>126</v>
      </c>
      <c r="H113" s="65" t="s">
        <v>98</v>
      </c>
      <c r="I113" s="66"/>
      <c r="J113" s="67"/>
      <c r="K113" s="66"/>
      <c r="L113" s="67"/>
      <c r="M113" s="66"/>
      <c r="N113" s="67"/>
      <c r="O113" s="66"/>
      <c r="P113" s="67"/>
    </row>
    <row r="114" spans="1:16" ht="12.95" hidden="1" customHeight="1">
      <c r="A114" s="3" t="str">
        <f t="shared" si="5"/>
        <v/>
      </c>
      <c r="B114" s="5">
        <f t="shared" si="6"/>
        <v>0.60069444444444364</v>
      </c>
      <c r="C114" s="5">
        <f t="shared" si="7"/>
        <v>0.60416666666666585</v>
      </c>
      <c r="D114" s="61"/>
      <c r="E114" s="68"/>
      <c r="F114" s="61"/>
      <c r="G114" s="64"/>
      <c r="H114" s="69"/>
      <c r="I114" s="66"/>
      <c r="J114" s="67"/>
      <c r="K114" s="66"/>
      <c r="L114" s="67"/>
      <c r="M114" s="66"/>
      <c r="N114" s="67"/>
      <c r="O114" s="66"/>
      <c r="P114" s="67"/>
    </row>
    <row r="115" spans="1:16" ht="12.95" hidden="1" customHeight="1">
      <c r="A115" s="3" t="str">
        <f t="shared" si="5"/>
        <v/>
      </c>
      <c r="B115" s="5">
        <f t="shared" si="6"/>
        <v>0.60416666666666585</v>
      </c>
      <c r="C115" s="5">
        <f t="shared" si="7"/>
        <v>0.60763888888888806</v>
      </c>
      <c r="D115" s="61"/>
      <c r="E115" s="68"/>
      <c r="F115" s="61"/>
      <c r="G115" s="64"/>
      <c r="H115" s="69"/>
      <c r="I115" s="66"/>
      <c r="J115" s="67"/>
      <c r="K115" s="66"/>
      <c r="L115" s="67"/>
      <c r="M115" s="66"/>
      <c r="N115" s="67"/>
      <c r="O115" s="66"/>
      <c r="P115" s="67"/>
    </row>
    <row r="116" spans="1:16" ht="12.95" customHeight="1">
      <c r="A116" s="3" t="str">
        <f t="shared" si="5"/>
        <v>14:35 - 14:50134FLOOR PLAN AFFORDANCE PREDICTION: IS THE FLOOR PLAN LAYOUT DETERMINED BY ITS OUTLINE OR THE ARCHITECT?
By Martin Bielik, Milan Valasek, Luyang Zhang and Sven Schneider</v>
      </c>
      <c r="B116" s="5">
        <f t="shared" si="6"/>
        <v>0.60763888888888806</v>
      </c>
      <c r="C116" s="5">
        <f t="shared" si="7"/>
        <v>0.61111111111111027</v>
      </c>
      <c r="D116" s="120"/>
      <c r="E116" s="68"/>
      <c r="F116" s="63" t="s">
        <v>100</v>
      </c>
      <c r="G116" s="64">
        <v>134</v>
      </c>
      <c r="H116" s="69" t="s">
        <v>334</v>
      </c>
      <c r="I116" s="66"/>
      <c r="J116" s="67"/>
      <c r="K116" s="66"/>
      <c r="L116" s="67"/>
      <c r="M116" s="66"/>
      <c r="N116" s="67"/>
      <c r="O116" s="66"/>
      <c r="P116" s="67"/>
    </row>
    <row r="117" spans="1:16" ht="12.95" hidden="1" customHeight="1">
      <c r="A117" s="3" t="str">
        <f t="shared" si="5"/>
        <v/>
      </c>
      <c r="B117" s="5">
        <f t="shared" si="6"/>
        <v>0.61111111111111027</v>
      </c>
      <c r="C117" s="5">
        <f t="shared" si="7"/>
        <v>0.61458333333333248</v>
      </c>
      <c r="D117" s="61"/>
      <c r="E117" s="68"/>
      <c r="F117" s="61"/>
      <c r="G117" s="64"/>
      <c r="H117" s="69"/>
      <c r="I117" s="66"/>
      <c r="J117" s="67"/>
      <c r="K117" s="66"/>
      <c r="L117" s="67"/>
      <c r="M117" s="66"/>
      <c r="N117" s="67"/>
      <c r="O117" s="66"/>
      <c r="P117" s="67"/>
    </row>
    <row r="118" spans="1:16" ht="12.95" hidden="1" customHeight="1">
      <c r="A118" s="3" t="str">
        <f t="shared" si="5"/>
        <v/>
      </c>
      <c r="B118" s="5">
        <f t="shared" si="6"/>
        <v>0.61458333333333248</v>
      </c>
      <c r="C118" s="5">
        <f t="shared" si="7"/>
        <v>0.61805555555555469</v>
      </c>
      <c r="D118" s="61"/>
      <c r="E118" s="68"/>
      <c r="F118" s="61"/>
      <c r="G118" s="64"/>
      <c r="H118" s="69"/>
      <c r="I118" s="66"/>
      <c r="J118" s="67"/>
      <c r="K118" s="66"/>
      <c r="L118" s="67"/>
      <c r="M118" s="66"/>
      <c r="N118" s="67"/>
      <c r="O118" s="66"/>
      <c r="P118" s="67"/>
    </row>
    <row r="119" spans="1:16" ht="12.95" customHeight="1">
      <c r="A119" s="3" t="str">
        <f t="shared" si="5"/>
        <v>14:50 - 15:05135BRIDGING THE GAP: ENHANCING AI-GENERATED FLOOR PLANS WITH MULTI-MODAL DATA INTEGRATION
By Martin Bielik, Sven Schneider, Luyang Zhang and Milan Valasek</v>
      </c>
      <c r="B119" s="5">
        <f t="shared" si="6"/>
        <v>0.61805555555555469</v>
      </c>
      <c r="C119" s="5">
        <f t="shared" si="7"/>
        <v>0.6215277777777769</v>
      </c>
      <c r="D119" s="120"/>
      <c r="E119" s="68"/>
      <c r="F119" s="63" t="s">
        <v>102</v>
      </c>
      <c r="G119" s="64">
        <v>135</v>
      </c>
      <c r="H119" s="69" t="s">
        <v>103</v>
      </c>
      <c r="I119" s="66"/>
      <c r="J119" s="67"/>
      <c r="K119" s="66"/>
      <c r="L119" s="67"/>
      <c r="M119" s="66"/>
      <c r="N119" s="67"/>
      <c r="O119" s="66"/>
      <c r="P119" s="67"/>
    </row>
    <row r="120" spans="1:16" ht="12.95" hidden="1" customHeight="1" thickBot="1">
      <c r="A120" s="3" t="str">
        <f t="shared" si="5"/>
        <v/>
      </c>
      <c r="B120" s="6">
        <f t="shared" si="6"/>
        <v>0.6215277777777769</v>
      </c>
      <c r="C120" s="6">
        <f t="shared" si="7"/>
        <v>0.62499999999999911</v>
      </c>
      <c r="D120" s="61"/>
      <c r="E120" s="68"/>
      <c r="F120" s="61"/>
      <c r="G120" s="64"/>
      <c r="H120" s="69"/>
      <c r="I120" s="66"/>
      <c r="J120" s="67"/>
      <c r="K120" s="66"/>
      <c r="L120" s="67"/>
      <c r="M120" s="66"/>
      <c r="N120" s="67"/>
      <c r="O120" s="66"/>
      <c r="P120" s="67"/>
    </row>
    <row r="121" spans="1:16" ht="12.95" hidden="1" customHeight="1">
      <c r="A121" s="3" t="str">
        <f t="shared" si="5"/>
        <v/>
      </c>
      <c r="B121" s="5">
        <f t="shared" si="6"/>
        <v>0.62499999999999911</v>
      </c>
      <c r="C121" s="5">
        <f t="shared" si="7"/>
        <v>0.62847222222222132</v>
      </c>
      <c r="D121" s="61"/>
      <c r="E121" s="68"/>
      <c r="F121" s="61"/>
      <c r="G121" s="64"/>
      <c r="H121" s="69"/>
      <c r="I121" s="66"/>
      <c r="J121" s="67"/>
      <c r="K121" s="66"/>
      <c r="L121" s="67"/>
      <c r="M121" s="66"/>
      <c r="N121" s="67"/>
      <c r="O121" s="66"/>
      <c r="P121" s="67"/>
    </row>
    <row r="122" spans="1:16" ht="12.95" customHeight="1">
      <c r="A122" s="3" t="str">
        <f t="shared" si="5"/>
        <v>15:05 - 15:20151GENERATING OPEN OFFICE LAYOUTS USING FLEXIBLE ARCHITECTURAL COMPONENTS
By Sivan Grodsky, Alex Nguyen, Panos Chatzitsakyris, Danut Bidasca, Thanasis Farangas, Andrew Vande Moere and Davide Schaumann</v>
      </c>
      <c r="B122" s="5">
        <f t="shared" si="6"/>
        <v>0.62847222222222132</v>
      </c>
      <c r="C122" s="5">
        <f t="shared" si="7"/>
        <v>0.63194444444444353</v>
      </c>
      <c r="D122" s="120"/>
      <c r="E122" s="68"/>
      <c r="F122" s="63" t="s">
        <v>104</v>
      </c>
      <c r="G122" s="64">
        <v>151</v>
      </c>
      <c r="H122" s="65" t="s">
        <v>105</v>
      </c>
      <c r="I122" s="66"/>
      <c r="J122" s="67"/>
      <c r="K122" s="66"/>
      <c r="L122" s="67"/>
      <c r="M122" s="66"/>
      <c r="N122" s="67"/>
      <c r="O122" s="66"/>
      <c r="P122" s="67"/>
    </row>
    <row r="123" spans="1:16" ht="12.95" hidden="1" customHeight="1">
      <c r="A123" s="3" t="str">
        <f t="shared" si="5"/>
        <v/>
      </c>
      <c r="B123" s="5">
        <f t="shared" si="6"/>
        <v>0.63194444444444353</v>
      </c>
      <c r="C123" s="5">
        <f t="shared" si="7"/>
        <v>0.63541666666666574</v>
      </c>
      <c r="D123" s="61"/>
      <c r="E123" s="68"/>
      <c r="F123" s="61"/>
      <c r="G123" s="64"/>
      <c r="H123" s="69"/>
      <c r="I123" s="66"/>
      <c r="J123" s="67"/>
      <c r="K123" s="66"/>
      <c r="L123" s="67"/>
      <c r="M123" s="66"/>
      <c r="N123" s="67"/>
      <c r="O123" s="66"/>
      <c r="P123" s="67"/>
    </row>
    <row r="124" spans="1:16" ht="12.95" hidden="1" customHeight="1">
      <c r="A124" s="3" t="str">
        <f t="shared" si="5"/>
        <v/>
      </c>
      <c r="B124" s="5">
        <f t="shared" si="6"/>
        <v>0.63541666666666574</v>
      </c>
      <c r="C124" s="5">
        <f t="shared" si="7"/>
        <v>0.63888888888888795</v>
      </c>
      <c r="D124" s="61"/>
      <c r="E124" s="68"/>
      <c r="F124" s="61"/>
      <c r="G124" s="64"/>
      <c r="H124" s="69"/>
      <c r="I124" s="66"/>
      <c r="J124" s="67"/>
      <c r="K124" s="66"/>
      <c r="L124" s="67"/>
      <c r="M124" s="66"/>
      <c r="N124" s="67"/>
      <c r="O124" s="66"/>
      <c r="P124" s="67"/>
    </row>
    <row r="125" spans="1:16" ht="12.95" customHeight="1">
      <c r="A125" s="3" t="str">
        <f t="shared" si="5"/>
        <v>15:20 - 15:40Break</v>
      </c>
      <c r="B125" s="5">
        <f t="shared" si="6"/>
        <v>0.63888888888888795</v>
      </c>
      <c r="C125" s="5">
        <f t="shared" si="7"/>
        <v>0.64236111111111016</v>
      </c>
      <c r="D125" s="114" t="s">
        <v>106</v>
      </c>
      <c r="E125" s="14" t="s">
        <v>24</v>
      </c>
      <c r="F125" s="13"/>
      <c r="G125" s="16"/>
      <c r="H125" s="17"/>
      <c r="I125" s="18"/>
      <c r="J125" s="19"/>
      <c r="K125" s="18"/>
      <c r="L125" s="19"/>
      <c r="M125" s="18"/>
      <c r="N125" s="19"/>
      <c r="O125" s="18"/>
      <c r="P125" s="19"/>
    </row>
    <row r="126" spans="1:16" ht="12.95" hidden="1" customHeight="1">
      <c r="A126" s="3" t="str">
        <f t="shared" si="5"/>
        <v/>
      </c>
      <c r="B126" s="5">
        <f t="shared" si="6"/>
        <v>0.64236111111111016</v>
      </c>
      <c r="C126" s="5">
        <f t="shared" si="7"/>
        <v>0.64583333333333237</v>
      </c>
      <c r="D126" s="13"/>
      <c r="E126" s="14"/>
      <c r="F126" s="13"/>
      <c r="G126" s="16"/>
      <c r="H126" s="17"/>
      <c r="I126" s="18"/>
      <c r="J126" s="19"/>
      <c r="K126" s="18"/>
      <c r="L126" s="19"/>
      <c r="M126" s="18"/>
      <c r="N126" s="19"/>
      <c r="O126" s="18"/>
      <c r="P126" s="19"/>
    </row>
    <row r="127" spans="1:16" ht="12.95" hidden="1" customHeight="1">
      <c r="A127" s="3" t="str">
        <f t="shared" si="5"/>
        <v/>
      </c>
      <c r="B127" s="5">
        <f t="shared" si="6"/>
        <v>0.64583333333333237</v>
      </c>
      <c r="C127" s="5">
        <f t="shared" si="7"/>
        <v>0.64930555555555458</v>
      </c>
      <c r="D127" s="13"/>
      <c r="E127" s="14"/>
      <c r="F127" s="13"/>
      <c r="G127" s="16"/>
      <c r="H127" s="17"/>
      <c r="I127" s="18"/>
      <c r="J127" s="19"/>
      <c r="K127" s="18"/>
      <c r="L127" s="19"/>
      <c r="M127" s="18"/>
      <c r="N127" s="19"/>
      <c r="O127" s="18"/>
      <c r="P127" s="19"/>
    </row>
    <row r="128" spans="1:16" ht="12.95" hidden="1" customHeight="1">
      <c r="A128" s="3" t="str">
        <f t="shared" si="5"/>
        <v/>
      </c>
      <c r="B128" s="5">
        <f t="shared" si="6"/>
        <v>0.64930555555555458</v>
      </c>
      <c r="C128" s="5">
        <f t="shared" si="7"/>
        <v>0.65277777777777679</v>
      </c>
      <c r="D128" s="13"/>
      <c r="E128" s="14"/>
      <c r="F128" s="13"/>
      <c r="G128" s="16"/>
      <c r="H128" s="17"/>
      <c r="I128" s="18"/>
      <c r="J128" s="19"/>
      <c r="K128" s="18"/>
      <c r="L128" s="19"/>
      <c r="M128" s="18"/>
      <c r="N128" s="19"/>
      <c r="O128" s="18"/>
      <c r="P128" s="19"/>
    </row>
    <row r="129" spans="1:16" ht="12.95" customHeight="1">
      <c r="A129" s="3" t="str">
        <f t="shared" si="5"/>
        <v>15:40 - 16:40Selected Paper Session 2:
STRUCTURAL, FABRICATION &amp; MATERIAL INTELLIGENCE15:40 - 15:55132ROBOTIC FABRICATION AND IN-SITU 3D PRINTING FOR A NATURAL TIMBER-BAMBOO STRUCTURE
By Haojie Fan, Xinyue Xia, Shunuo Li, Huangyan Zheng, Haoyi Xu and Sining Wang</v>
      </c>
      <c r="B129" s="5">
        <f t="shared" si="6"/>
        <v>0.65277777777777679</v>
      </c>
      <c r="C129" s="5">
        <f t="shared" si="7"/>
        <v>0.656249999999999</v>
      </c>
      <c r="D129" s="120" t="s">
        <v>335</v>
      </c>
      <c r="E129" s="62" t="s">
        <v>336</v>
      </c>
      <c r="F129" s="63" t="s">
        <v>112</v>
      </c>
      <c r="G129" s="64">
        <v>132</v>
      </c>
      <c r="H129" s="65" t="s">
        <v>216</v>
      </c>
      <c r="I129" s="66"/>
      <c r="J129" s="67"/>
      <c r="K129" s="66"/>
      <c r="L129" s="67"/>
      <c r="M129" s="66"/>
      <c r="N129" s="67"/>
      <c r="O129" s="66"/>
      <c r="P129" s="67"/>
    </row>
    <row r="130" spans="1:16" ht="12.95" hidden="1" customHeight="1">
      <c r="A130" s="3" t="str">
        <f t="shared" si="5"/>
        <v/>
      </c>
      <c r="B130" s="5">
        <f t="shared" si="6"/>
        <v>0.656249999999999</v>
      </c>
      <c r="C130" s="5">
        <f t="shared" si="7"/>
        <v>0.65972222222222121</v>
      </c>
      <c r="D130" s="61"/>
      <c r="E130" s="68"/>
      <c r="F130" s="61"/>
      <c r="G130" s="64"/>
      <c r="H130" s="69"/>
      <c r="I130" s="66"/>
      <c r="J130" s="67"/>
      <c r="K130" s="66"/>
      <c r="L130" s="67"/>
      <c r="M130" s="66"/>
      <c r="N130" s="67"/>
      <c r="O130" s="66"/>
      <c r="P130" s="67"/>
    </row>
    <row r="131" spans="1:16" ht="12.95" hidden="1" customHeight="1">
      <c r="A131" s="3" t="str">
        <f t="shared" si="5"/>
        <v/>
      </c>
      <c r="B131" s="5">
        <f t="shared" si="6"/>
        <v>0.65972222222222121</v>
      </c>
      <c r="C131" s="5">
        <f t="shared" si="7"/>
        <v>0.66319444444444342</v>
      </c>
      <c r="D131" s="61"/>
      <c r="E131" s="68"/>
      <c r="F131" s="61"/>
      <c r="G131" s="64"/>
      <c r="H131" s="69"/>
      <c r="I131" s="66"/>
      <c r="J131" s="67"/>
      <c r="K131" s="66"/>
      <c r="L131" s="67"/>
      <c r="M131" s="66"/>
      <c r="N131" s="67"/>
      <c r="O131" s="66"/>
      <c r="P131" s="67"/>
    </row>
    <row r="132" spans="1:16" ht="12.95" customHeight="1" thickBot="1">
      <c r="A132" s="3" t="str">
        <f t="shared" ref="A132:A195" si="8">_xlfn.CONCAT(D132:N132)</f>
        <v>15:55 - 16:10193INVESTIGATING SELF-SHAPING FIBRE COMPOSITES: TUNNING CURING PARAMETERS TO OPTIMISE RESULTING CURVATURE
By Ariel Yakobi, Eran Sharon and Arielle Blonder</v>
      </c>
      <c r="B132" s="6">
        <f t="shared" si="6"/>
        <v>0.66319444444444342</v>
      </c>
      <c r="C132" s="6">
        <f t="shared" si="7"/>
        <v>0.66666666666666563</v>
      </c>
      <c r="D132" s="120"/>
      <c r="E132" s="68"/>
      <c r="F132" s="63" t="s">
        <v>114</v>
      </c>
      <c r="G132" s="64">
        <v>193</v>
      </c>
      <c r="H132" s="69" t="s">
        <v>218</v>
      </c>
      <c r="I132" s="66"/>
      <c r="J132" s="67"/>
      <c r="K132" s="66"/>
      <c r="L132" s="67"/>
      <c r="M132" s="66"/>
      <c r="N132" s="67"/>
      <c r="O132" s="66"/>
      <c r="P132" s="67"/>
    </row>
    <row r="133" spans="1:16" ht="12.95" hidden="1" customHeight="1">
      <c r="A133" s="3" t="str">
        <f t="shared" si="8"/>
        <v/>
      </c>
      <c r="B133" s="5">
        <f t="shared" si="6"/>
        <v>0.66666666666666563</v>
      </c>
      <c r="C133" s="5">
        <f t="shared" si="7"/>
        <v>0.67013888888888784</v>
      </c>
      <c r="D133" s="61"/>
      <c r="E133" s="68"/>
      <c r="F133" s="61"/>
      <c r="G133" s="64"/>
      <c r="H133" s="69"/>
      <c r="I133" s="66"/>
      <c r="J133" s="67"/>
      <c r="K133" s="66"/>
      <c r="L133" s="67"/>
      <c r="M133" s="66"/>
      <c r="N133" s="67"/>
      <c r="O133" s="66"/>
      <c r="P133" s="67"/>
    </row>
    <row r="134" spans="1:16" ht="12.95" hidden="1" customHeight="1">
      <c r="A134" s="3" t="str">
        <f t="shared" si="8"/>
        <v/>
      </c>
      <c r="B134" s="5">
        <f t="shared" si="6"/>
        <v>0.67013888888888784</v>
      </c>
      <c r="C134" s="5">
        <f t="shared" si="7"/>
        <v>0.67361111111111005</v>
      </c>
      <c r="D134" s="61"/>
      <c r="E134" s="68"/>
      <c r="F134" s="61"/>
      <c r="G134" s="64"/>
      <c r="H134" s="69"/>
      <c r="I134" s="66"/>
      <c r="J134" s="67"/>
      <c r="K134" s="66"/>
      <c r="L134" s="67"/>
      <c r="M134" s="66"/>
      <c r="N134" s="67"/>
      <c r="O134" s="66"/>
      <c r="P134" s="67"/>
    </row>
    <row r="135" spans="1:16" ht="12.95" customHeight="1">
      <c r="A135" s="3" t="str">
        <f t="shared" si="8"/>
        <v>16:10 - 16:25386PREDICTING STRESS-STRAIN CHARACTERISTICS OF 3D PRINTED BCC LATTICE STRUCTURES WITH VARIABLE GRID GRADATION USING NEURAL NETWORKS
By Mahdi Jandaghimeibodi, Mostafa Hosseini Vajari, Morteza Behzadnasab and Soheil Dariushi</v>
      </c>
      <c r="B135" s="5">
        <f t="shared" si="6"/>
        <v>0.67361111111111005</v>
      </c>
      <c r="C135" s="5">
        <f t="shared" si="7"/>
        <v>0.67708333333333226</v>
      </c>
      <c r="D135" s="120"/>
      <c r="E135" s="68"/>
      <c r="F135" s="63" t="s">
        <v>117</v>
      </c>
      <c r="G135" s="64">
        <v>386</v>
      </c>
      <c r="H135" s="69" t="s">
        <v>220</v>
      </c>
      <c r="I135" s="66"/>
      <c r="J135" s="67"/>
      <c r="K135" s="66"/>
      <c r="L135" s="67"/>
      <c r="M135" s="66"/>
      <c r="N135" s="67"/>
      <c r="O135" s="66"/>
      <c r="P135" s="67"/>
    </row>
    <row r="136" spans="1:16" ht="12.95" hidden="1" customHeight="1">
      <c r="A136" s="3" t="str">
        <f t="shared" si="8"/>
        <v/>
      </c>
      <c r="B136" s="5">
        <f t="shared" si="6"/>
        <v>0.67708333333333226</v>
      </c>
      <c r="C136" s="5">
        <f t="shared" si="7"/>
        <v>0.68055555555555447</v>
      </c>
      <c r="D136" s="61"/>
      <c r="E136" s="68"/>
      <c r="F136" s="61"/>
      <c r="G136" s="64"/>
      <c r="H136" s="69"/>
      <c r="I136" s="66"/>
      <c r="J136" s="67"/>
      <c r="K136" s="66"/>
      <c r="L136" s="67"/>
      <c r="M136" s="66"/>
      <c r="N136" s="67"/>
      <c r="O136" s="66"/>
      <c r="P136" s="67"/>
    </row>
    <row r="137" spans="1:16" ht="12.95" hidden="1" customHeight="1">
      <c r="A137" s="3" t="str">
        <f t="shared" si="8"/>
        <v/>
      </c>
      <c r="B137" s="5">
        <f t="shared" si="6"/>
        <v>0.68055555555555447</v>
      </c>
      <c r="C137" s="5">
        <f t="shared" si="7"/>
        <v>0.68402777777777668</v>
      </c>
      <c r="D137" s="61"/>
      <c r="E137" s="68"/>
      <c r="F137" s="61"/>
      <c r="G137" s="64"/>
      <c r="H137" s="69"/>
      <c r="I137" s="66"/>
      <c r="J137" s="67"/>
      <c r="K137" s="66"/>
      <c r="L137" s="67"/>
      <c r="M137" s="66"/>
      <c r="N137" s="67"/>
      <c r="O137" s="66"/>
      <c r="P137" s="67"/>
    </row>
    <row r="138" spans="1:16" ht="12.95" customHeight="1">
      <c r="A138" s="3" t="str">
        <f t="shared" si="8"/>
        <v>16:25 - 16:40178CNT FIBER-WOVEN PROTOTYPES: ZERO WEIGHT, INFINITE SPAN
By Juan Jose Castellon</v>
      </c>
      <c r="B138" s="5">
        <f t="shared" si="6"/>
        <v>0.68402777777777668</v>
      </c>
      <c r="C138" s="5">
        <f t="shared" si="7"/>
        <v>0.68749999999999889</v>
      </c>
      <c r="D138" s="120"/>
      <c r="E138" s="68"/>
      <c r="F138" s="63" t="s">
        <v>337</v>
      </c>
      <c r="G138" s="64">
        <v>178</v>
      </c>
      <c r="H138" s="65" t="s">
        <v>222</v>
      </c>
      <c r="I138" s="66"/>
      <c r="J138" s="67"/>
      <c r="K138" s="66"/>
      <c r="L138" s="67"/>
      <c r="M138" s="66"/>
      <c r="N138" s="67"/>
      <c r="O138" s="66"/>
      <c r="P138" s="67"/>
    </row>
    <row r="139" spans="1:16" ht="12.95" hidden="1" customHeight="1">
      <c r="A139" s="3" t="str">
        <f t="shared" si="8"/>
        <v/>
      </c>
      <c r="B139" s="5">
        <f t="shared" si="6"/>
        <v>0.68749999999999889</v>
      </c>
      <c r="C139" s="5">
        <f t="shared" si="7"/>
        <v>0.6909722222222211</v>
      </c>
      <c r="D139" s="61"/>
      <c r="E139" s="68"/>
      <c r="F139" s="61"/>
      <c r="G139" s="64"/>
      <c r="H139" s="69"/>
      <c r="I139" s="66"/>
      <c r="J139" s="67"/>
      <c r="K139" s="66"/>
      <c r="L139" s="67"/>
      <c r="M139" s="66"/>
      <c r="N139" s="67"/>
      <c r="O139" s="66"/>
      <c r="P139" s="67"/>
    </row>
    <row r="140" spans="1:16" ht="12.95" hidden="1" customHeight="1">
      <c r="A140" s="3" t="str">
        <f t="shared" si="8"/>
        <v/>
      </c>
      <c r="B140" s="5">
        <f t="shared" si="6"/>
        <v>0.6909722222222211</v>
      </c>
      <c r="C140" s="5">
        <f t="shared" si="7"/>
        <v>0.69444444444444331</v>
      </c>
      <c r="D140" s="61"/>
      <c r="E140" s="68"/>
      <c r="F140" s="61"/>
      <c r="G140" s="64"/>
      <c r="H140" s="69"/>
      <c r="I140" s="66"/>
      <c r="J140" s="67"/>
      <c r="K140" s="66"/>
      <c r="L140" s="67"/>
      <c r="M140" s="66"/>
      <c r="N140" s="67"/>
      <c r="O140" s="66"/>
      <c r="P140" s="67"/>
    </row>
    <row r="141" spans="1:16" ht="12.95" customHeight="1">
      <c r="A141" s="3" t="str">
        <f t="shared" si="8"/>
        <v>16:40 - 17:00Break / Relocate</v>
      </c>
      <c r="B141" s="5">
        <f t="shared" si="6"/>
        <v>0.69444444444444331</v>
      </c>
      <c r="C141" s="5">
        <f t="shared" si="7"/>
        <v>0.69791666666666552</v>
      </c>
      <c r="D141" s="114" t="s">
        <v>338</v>
      </c>
      <c r="E141" s="14" t="s">
        <v>119</v>
      </c>
      <c r="F141" s="13"/>
      <c r="G141" s="16"/>
      <c r="H141" s="17"/>
      <c r="I141" s="18"/>
      <c r="J141" s="19"/>
      <c r="K141" s="18"/>
      <c r="L141" s="19"/>
      <c r="M141" s="18"/>
      <c r="N141" s="19"/>
      <c r="O141" s="18"/>
      <c r="P141" s="19"/>
    </row>
    <row r="142" spans="1:16" ht="12.95" hidden="1" customHeight="1">
      <c r="A142" s="3" t="str">
        <f t="shared" si="8"/>
        <v/>
      </c>
      <c r="B142" s="5">
        <f t="shared" si="6"/>
        <v>0.69791666666666552</v>
      </c>
      <c r="C142" s="5">
        <f t="shared" si="7"/>
        <v>0.70138888888888773</v>
      </c>
      <c r="D142" s="13"/>
      <c r="E142" s="14"/>
      <c r="F142" s="13"/>
      <c r="G142" s="16"/>
      <c r="H142" s="17"/>
      <c r="I142" s="18"/>
      <c r="J142" s="19"/>
      <c r="K142" s="18"/>
      <c r="L142" s="19"/>
      <c r="M142" s="18"/>
      <c r="N142" s="19"/>
      <c r="O142" s="18"/>
      <c r="P142" s="19"/>
    </row>
    <row r="143" spans="1:16" ht="12.95" hidden="1" customHeight="1">
      <c r="A143" s="3" t="str">
        <f t="shared" si="8"/>
        <v/>
      </c>
      <c r="B143" s="5">
        <f t="shared" si="6"/>
        <v>0.70138888888888773</v>
      </c>
      <c r="C143" s="5">
        <f t="shared" si="7"/>
        <v>0.70486111111110994</v>
      </c>
      <c r="D143" s="13"/>
      <c r="E143" s="14"/>
      <c r="F143" s="13"/>
      <c r="G143" s="16"/>
      <c r="H143" s="17"/>
      <c r="I143" s="18"/>
      <c r="J143" s="19"/>
      <c r="K143" s="18"/>
      <c r="L143" s="19"/>
      <c r="M143" s="18"/>
      <c r="N143" s="19"/>
      <c r="O143" s="18"/>
      <c r="P143" s="19"/>
    </row>
    <row r="144" spans="1:16" ht="12.95" hidden="1" customHeight="1" thickBot="1">
      <c r="A144" s="3" t="str">
        <f t="shared" si="8"/>
        <v/>
      </c>
      <c r="B144" s="6">
        <f t="shared" si="6"/>
        <v>0.70486111111110994</v>
      </c>
      <c r="C144" s="6">
        <f t="shared" si="7"/>
        <v>0.70833333333333215</v>
      </c>
      <c r="D144" s="13"/>
      <c r="E144" s="14"/>
      <c r="F144" s="13"/>
      <c r="G144" s="16"/>
      <c r="H144" s="17"/>
      <c r="I144" s="18"/>
      <c r="J144" s="19"/>
      <c r="K144" s="18"/>
      <c r="L144" s="19"/>
      <c r="M144" s="18"/>
      <c r="N144" s="19"/>
      <c r="O144" s="18"/>
      <c r="P144" s="19"/>
    </row>
    <row r="145" spans="1:16" ht="12.95" customHeight="1">
      <c r="A145" s="3" t="str">
        <f t="shared" si="8"/>
        <v>17:00 - 18:00Keynote 2: SHIGERU BAN</v>
      </c>
      <c r="B145" s="5">
        <f t="shared" si="6"/>
        <v>0.70833333333333215</v>
      </c>
      <c r="C145" s="5">
        <f t="shared" si="7"/>
        <v>0.71180555555555436</v>
      </c>
      <c r="D145" s="116" t="s">
        <v>122</v>
      </c>
      <c r="E145" s="33" t="s">
        <v>121</v>
      </c>
      <c r="F145" s="32"/>
      <c r="G145" s="34"/>
      <c r="H145" s="35"/>
      <c r="I145" s="36"/>
      <c r="J145" s="37"/>
      <c r="K145" s="36"/>
      <c r="L145" s="37"/>
      <c r="M145" s="36"/>
      <c r="N145" s="37"/>
      <c r="O145" s="36"/>
      <c r="P145" s="37"/>
    </row>
    <row r="146" spans="1:16" ht="12.95" hidden="1" customHeight="1">
      <c r="A146" s="3" t="str">
        <f t="shared" si="8"/>
        <v/>
      </c>
      <c r="B146" s="5">
        <f t="shared" si="6"/>
        <v>0.71180555555555436</v>
      </c>
      <c r="C146" s="5">
        <f t="shared" si="7"/>
        <v>0.71527777777777657</v>
      </c>
      <c r="D146" s="32"/>
      <c r="E146" s="33"/>
      <c r="F146" s="32"/>
      <c r="G146" s="34"/>
      <c r="H146" s="35"/>
      <c r="I146" s="36"/>
      <c r="J146" s="37"/>
      <c r="K146" s="36"/>
      <c r="L146" s="37"/>
      <c r="M146" s="36"/>
      <c r="N146" s="37"/>
      <c r="O146" s="36"/>
      <c r="P146" s="37"/>
    </row>
    <row r="147" spans="1:16" ht="12.95" hidden="1" customHeight="1">
      <c r="A147" s="3" t="str">
        <f t="shared" si="8"/>
        <v/>
      </c>
      <c r="B147" s="5">
        <f t="shared" si="6"/>
        <v>0.71527777777777657</v>
      </c>
      <c r="C147" s="5">
        <f t="shared" si="7"/>
        <v>0.71874999999999878</v>
      </c>
      <c r="D147" s="32"/>
      <c r="E147" s="33"/>
      <c r="F147" s="32"/>
      <c r="G147" s="34"/>
      <c r="H147" s="35"/>
      <c r="I147" s="36"/>
      <c r="J147" s="37"/>
      <c r="K147" s="36"/>
      <c r="L147" s="37"/>
      <c r="M147" s="36"/>
      <c r="N147" s="37"/>
      <c r="O147" s="36"/>
      <c r="P147" s="37"/>
    </row>
    <row r="148" spans="1:16" ht="12.95" hidden="1" customHeight="1">
      <c r="A148" s="3" t="str">
        <f t="shared" si="8"/>
        <v/>
      </c>
      <c r="B148" s="5">
        <f t="shared" si="6"/>
        <v>0.71874999999999878</v>
      </c>
      <c r="C148" s="5">
        <f t="shared" si="7"/>
        <v>0.72222222222222099</v>
      </c>
      <c r="D148" s="32"/>
      <c r="E148" s="33"/>
      <c r="F148" s="32"/>
      <c r="G148" s="34"/>
      <c r="H148" s="35"/>
      <c r="I148" s="36"/>
      <c r="J148" s="37"/>
      <c r="K148" s="36"/>
      <c r="L148" s="37"/>
      <c r="M148" s="36"/>
      <c r="N148" s="37"/>
      <c r="O148" s="36"/>
      <c r="P148" s="37"/>
    </row>
    <row r="149" spans="1:16" ht="12.95" hidden="1" customHeight="1">
      <c r="A149" s="3" t="str">
        <f t="shared" si="8"/>
        <v/>
      </c>
      <c r="B149" s="5">
        <f t="shared" si="6"/>
        <v>0.72222222222222099</v>
      </c>
      <c r="C149" s="5">
        <f t="shared" si="7"/>
        <v>0.7256944444444432</v>
      </c>
      <c r="D149" s="32"/>
      <c r="E149" s="33"/>
      <c r="F149" s="32"/>
      <c r="G149" s="34"/>
      <c r="H149" s="35"/>
      <c r="I149" s="36"/>
      <c r="J149" s="37"/>
      <c r="K149" s="36"/>
      <c r="L149" s="37"/>
      <c r="M149" s="36"/>
      <c r="N149" s="37"/>
      <c r="O149" s="36"/>
      <c r="P149" s="37"/>
    </row>
    <row r="150" spans="1:16" ht="12.95" hidden="1" customHeight="1">
      <c r="A150" s="3" t="str">
        <f t="shared" si="8"/>
        <v/>
      </c>
      <c r="B150" s="5">
        <f t="shared" si="6"/>
        <v>0.7256944444444432</v>
      </c>
      <c r="C150" s="5">
        <f t="shared" si="7"/>
        <v>0.72916666666666541</v>
      </c>
      <c r="D150" s="32"/>
      <c r="E150" s="33"/>
      <c r="F150" s="32"/>
      <c r="G150" s="34"/>
      <c r="H150" s="35"/>
      <c r="I150" s="36"/>
      <c r="J150" s="37"/>
      <c r="K150" s="36"/>
      <c r="L150" s="37"/>
      <c r="M150" s="36"/>
      <c r="N150" s="37"/>
      <c r="O150" s="36"/>
      <c r="P150" s="37"/>
    </row>
    <row r="151" spans="1:16" ht="12.95" hidden="1" customHeight="1">
      <c r="A151" s="3" t="str">
        <f t="shared" si="8"/>
        <v/>
      </c>
      <c r="B151" s="5">
        <f t="shared" si="6"/>
        <v>0.72916666666666541</v>
      </c>
      <c r="C151" s="5">
        <f t="shared" si="7"/>
        <v>0.73263888888888762</v>
      </c>
      <c r="D151" s="32"/>
      <c r="E151" s="33"/>
      <c r="F151" s="32"/>
      <c r="G151" s="34"/>
      <c r="H151" s="35"/>
      <c r="I151" s="36"/>
      <c r="J151" s="37"/>
      <c r="K151" s="36"/>
      <c r="L151" s="37"/>
      <c r="M151" s="36"/>
      <c r="N151" s="37"/>
      <c r="O151" s="36"/>
      <c r="P151" s="37"/>
    </row>
    <row r="152" spans="1:16" ht="12.95" hidden="1" customHeight="1">
      <c r="A152" s="3" t="str">
        <f t="shared" si="8"/>
        <v/>
      </c>
      <c r="B152" s="5">
        <f t="shared" si="6"/>
        <v>0.73263888888888762</v>
      </c>
      <c r="C152" s="5">
        <f t="shared" si="7"/>
        <v>0.73611111111110983</v>
      </c>
      <c r="D152" s="32"/>
      <c r="E152" s="33"/>
      <c r="F152" s="32"/>
      <c r="G152" s="34"/>
      <c r="H152" s="35"/>
      <c r="I152" s="36"/>
      <c r="J152" s="37"/>
      <c r="K152" s="36"/>
      <c r="L152" s="37"/>
      <c r="M152" s="36"/>
      <c r="N152" s="37"/>
      <c r="O152" s="36"/>
      <c r="P152" s="37"/>
    </row>
    <row r="153" spans="1:16" ht="12.95" hidden="1" customHeight="1">
      <c r="A153" s="3" t="str">
        <f t="shared" si="8"/>
        <v/>
      </c>
      <c r="B153" s="5">
        <f t="shared" si="6"/>
        <v>0.73611111111110983</v>
      </c>
      <c r="C153" s="5">
        <f t="shared" si="7"/>
        <v>0.73958333333333204</v>
      </c>
      <c r="D153" s="32"/>
      <c r="E153" s="33"/>
      <c r="F153" s="32"/>
      <c r="G153" s="34"/>
      <c r="H153" s="35"/>
      <c r="I153" s="36"/>
      <c r="J153" s="37"/>
      <c r="K153" s="36"/>
      <c r="L153" s="37"/>
      <c r="M153" s="36"/>
      <c r="N153" s="37"/>
      <c r="O153" s="36"/>
      <c r="P153" s="37"/>
    </row>
    <row r="154" spans="1:16" ht="12.95" hidden="1" customHeight="1">
      <c r="A154" s="3" t="str">
        <f t="shared" si="8"/>
        <v/>
      </c>
      <c r="B154" s="5">
        <f t="shared" si="6"/>
        <v>0.73958333333333204</v>
      </c>
      <c r="C154" s="5">
        <f t="shared" si="7"/>
        <v>0.74305555555555425</v>
      </c>
      <c r="D154" s="32"/>
      <c r="E154" s="33"/>
      <c r="F154" s="32"/>
      <c r="G154" s="34"/>
      <c r="H154" s="35"/>
      <c r="I154" s="36"/>
      <c r="J154" s="37"/>
      <c r="K154" s="36"/>
      <c r="L154" s="37"/>
      <c r="M154" s="36"/>
      <c r="N154" s="37"/>
      <c r="O154" s="36"/>
      <c r="P154" s="37"/>
    </row>
    <row r="155" spans="1:16" ht="12.95" hidden="1" customHeight="1">
      <c r="A155" s="3" t="str">
        <f t="shared" si="8"/>
        <v/>
      </c>
      <c r="B155" s="5">
        <f t="shared" si="6"/>
        <v>0.74305555555555425</v>
      </c>
      <c r="C155" s="5">
        <f t="shared" si="7"/>
        <v>0.74652777777777646</v>
      </c>
      <c r="D155" s="32"/>
      <c r="E155" s="33"/>
      <c r="F155" s="32"/>
      <c r="G155" s="34"/>
      <c r="H155" s="35"/>
      <c r="I155" s="36"/>
      <c r="J155" s="37"/>
      <c r="K155" s="36"/>
      <c r="L155" s="37"/>
      <c r="M155" s="36"/>
      <c r="N155" s="37"/>
      <c r="O155" s="36"/>
      <c r="P155" s="37"/>
    </row>
    <row r="156" spans="1:16" ht="12.95" hidden="1" customHeight="1" thickBot="1">
      <c r="A156" s="3" t="str">
        <f t="shared" si="8"/>
        <v/>
      </c>
      <c r="B156" s="6">
        <f t="shared" si="6"/>
        <v>0.74652777777777646</v>
      </c>
      <c r="C156" s="6">
        <f t="shared" si="7"/>
        <v>0.74999999999999867</v>
      </c>
      <c r="D156" s="32"/>
      <c r="E156" s="33"/>
      <c r="F156" s="32"/>
      <c r="G156" s="34"/>
      <c r="H156" s="35"/>
      <c r="I156" s="36"/>
      <c r="J156" s="37"/>
      <c r="K156" s="36"/>
      <c r="L156" s="37"/>
      <c r="M156" s="36"/>
      <c r="N156" s="37"/>
      <c r="O156" s="36"/>
      <c r="P156" s="37"/>
    </row>
    <row r="157" spans="1:16" ht="12.95" customHeight="1">
      <c r="A157" s="3" t="str">
        <f t="shared" si="8"/>
        <v>18:00 - 19:00Catalytic Interfaces - Work Session</v>
      </c>
      <c r="B157" s="5">
        <f t="shared" si="6"/>
        <v>0.74999999999999867</v>
      </c>
      <c r="C157" s="5">
        <f t="shared" si="7"/>
        <v>0.75347222222222088</v>
      </c>
      <c r="D157" s="117" t="s">
        <v>124</v>
      </c>
      <c r="E157" s="39" t="s">
        <v>125</v>
      </c>
      <c r="F157" s="38"/>
      <c r="G157" s="40"/>
      <c r="H157" s="41"/>
      <c r="I157" s="42"/>
      <c r="J157" s="43"/>
      <c r="K157" s="42"/>
      <c r="L157" s="43"/>
      <c r="M157" s="42"/>
      <c r="N157" s="43"/>
      <c r="O157" s="42"/>
      <c r="P157" s="43"/>
    </row>
    <row r="158" spans="1:16" ht="12.95" hidden="1" customHeight="1">
      <c r="A158" s="3" t="str">
        <f t="shared" si="8"/>
        <v/>
      </c>
      <c r="B158" s="5">
        <f t="shared" si="6"/>
        <v>0.75347222222222088</v>
      </c>
      <c r="C158" s="5">
        <f t="shared" si="7"/>
        <v>0.75694444444444309</v>
      </c>
      <c r="D158" s="38"/>
      <c r="E158" s="39"/>
      <c r="F158" s="38"/>
      <c r="G158" s="40"/>
      <c r="H158" s="41"/>
      <c r="I158" s="42"/>
      <c r="J158" s="43"/>
      <c r="K158" s="42"/>
      <c r="L158" s="43"/>
      <c r="M158" s="42"/>
      <c r="N158" s="43"/>
      <c r="O158" s="42"/>
      <c r="P158" s="43"/>
    </row>
    <row r="159" spans="1:16" ht="12.95" hidden="1" customHeight="1">
      <c r="A159" s="3" t="str">
        <f t="shared" si="8"/>
        <v/>
      </c>
      <c r="B159" s="5">
        <f t="shared" si="6"/>
        <v>0.75694444444444309</v>
      </c>
      <c r="C159" s="5">
        <f t="shared" si="7"/>
        <v>0.7604166666666653</v>
      </c>
      <c r="D159" s="38"/>
      <c r="E159" s="39"/>
      <c r="F159" s="38"/>
      <c r="G159" s="40"/>
      <c r="H159" s="41"/>
      <c r="I159" s="42"/>
      <c r="J159" s="43"/>
      <c r="K159" s="42"/>
      <c r="L159" s="43"/>
      <c r="M159" s="42"/>
      <c r="N159" s="43"/>
      <c r="O159" s="42"/>
      <c r="P159" s="43"/>
    </row>
    <row r="160" spans="1:16" ht="12.95" hidden="1" customHeight="1">
      <c r="A160" s="3" t="str">
        <f t="shared" si="8"/>
        <v/>
      </c>
      <c r="B160" s="5">
        <f t="shared" si="6"/>
        <v>0.7604166666666653</v>
      </c>
      <c r="C160" s="5">
        <f t="shared" si="7"/>
        <v>0.76388888888888751</v>
      </c>
      <c r="D160" s="38"/>
      <c r="E160" s="39"/>
      <c r="F160" s="38"/>
      <c r="G160" s="40"/>
      <c r="H160" s="41"/>
      <c r="I160" s="42"/>
      <c r="J160" s="43"/>
      <c r="K160" s="42"/>
      <c r="L160" s="43"/>
      <c r="M160" s="42"/>
      <c r="N160" s="43"/>
      <c r="O160" s="42"/>
      <c r="P160" s="43"/>
    </row>
    <row r="161" spans="1:16" ht="12.95" hidden="1" customHeight="1">
      <c r="A161" s="3" t="str">
        <f t="shared" si="8"/>
        <v/>
      </c>
      <c r="B161" s="5">
        <f t="shared" si="6"/>
        <v>0.76388888888888751</v>
      </c>
      <c r="C161" s="5">
        <f t="shared" si="7"/>
        <v>0.76736111111110972</v>
      </c>
      <c r="D161" s="38"/>
      <c r="E161" s="39"/>
      <c r="F161" s="38"/>
      <c r="G161" s="40"/>
      <c r="H161" s="41"/>
      <c r="I161" s="42"/>
      <c r="J161" s="43"/>
      <c r="K161" s="42"/>
      <c r="L161" s="43"/>
      <c r="M161" s="42"/>
      <c r="N161" s="43"/>
      <c r="O161" s="42"/>
      <c r="P161" s="43"/>
    </row>
    <row r="162" spans="1:16" ht="12.95" hidden="1" customHeight="1">
      <c r="A162" s="3" t="str">
        <f t="shared" si="8"/>
        <v/>
      </c>
      <c r="B162" s="5">
        <f t="shared" si="6"/>
        <v>0.76736111111110972</v>
      </c>
      <c r="C162" s="5">
        <f t="shared" si="7"/>
        <v>0.77083333333333193</v>
      </c>
      <c r="D162" s="38"/>
      <c r="E162" s="39"/>
      <c r="F162" s="38"/>
      <c r="G162" s="40"/>
      <c r="H162" s="41"/>
      <c r="I162" s="42"/>
      <c r="J162" s="43"/>
      <c r="K162" s="42"/>
      <c r="L162" s="43"/>
      <c r="M162" s="42"/>
      <c r="N162" s="43"/>
      <c r="O162" s="42"/>
      <c r="P162" s="43"/>
    </row>
    <row r="163" spans="1:16" ht="12.95" hidden="1" customHeight="1">
      <c r="A163" s="3" t="str">
        <f t="shared" si="8"/>
        <v/>
      </c>
      <c r="B163" s="5">
        <f t="shared" si="6"/>
        <v>0.77083333333333193</v>
      </c>
      <c r="C163" s="5">
        <f t="shared" si="7"/>
        <v>0.77430555555555414</v>
      </c>
      <c r="D163" s="38"/>
      <c r="E163" s="39"/>
      <c r="F163" s="38"/>
      <c r="G163" s="40"/>
      <c r="H163" s="41"/>
      <c r="I163" s="42"/>
      <c r="J163" s="43"/>
      <c r="K163" s="42"/>
      <c r="L163" s="43"/>
      <c r="M163" s="42"/>
      <c r="N163" s="43"/>
      <c r="O163" s="42"/>
      <c r="P163" s="43"/>
    </row>
    <row r="164" spans="1:16" ht="12.95" hidden="1" customHeight="1">
      <c r="A164" s="3" t="str">
        <f t="shared" si="8"/>
        <v/>
      </c>
      <c r="B164" s="5">
        <f t="shared" si="6"/>
        <v>0.77430555555555414</v>
      </c>
      <c r="C164" s="5">
        <f t="shared" si="7"/>
        <v>0.77777777777777635</v>
      </c>
      <c r="D164" s="38"/>
      <c r="E164" s="39"/>
      <c r="F164" s="38"/>
      <c r="G164" s="40"/>
      <c r="H164" s="41"/>
      <c r="I164" s="42"/>
      <c r="J164" s="43"/>
      <c r="K164" s="42"/>
      <c r="L164" s="43"/>
      <c r="M164" s="42"/>
      <c r="N164" s="43"/>
      <c r="O164" s="42"/>
      <c r="P164" s="43"/>
    </row>
    <row r="165" spans="1:16" ht="12.95" hidden="1" customHeight="1">
      <c r="A165" s="3" t="str">
        <f t="shared" si="8"/>
        <v/>
      </c>
      <c r="B165" s="5">
        <f t="shared" si="6"/>
        <v>0.77777777777777635</v>
      </c>
      <c r="C165" s="5">
        <f t="shared" si="7"/>
        <v>0.78124999999999856</v>
      </c>
      <c r="D165" s="38"/>
      <c r="E165" s="39"/>
      <c r="F165" s="38"/>
      <c r="G165" s="40"/>
      <c r="H165" s="41"/>
      <c r="I165" s="42"/>
      <c r="J165" s="43"/>
      <c r="K165" s="42"/>
      <c r="L165" s="43"/>
      <c r="M165" s="42"/>
      <c r="N165" s="43"/>
      <c r="O165" s="42"/>
      <c r="P165" s="43"/>
    </row>
    <row r="166" spans="1:16" ht="12.95" hidden="1" customHeight="1">
      <c r="A166" s="3" t="str">
        <f t="shared" si="8"/>
        <v/>
      </c>
      <c r="B166" s="5">
        <f t="shared" si="6"/>
        <v>0.78124999999999856</v>
      </c>
      <c r="C166" s="5">
        <f t="shared" si="7"/>
        <v>0.78472222222222077</v>
      </c>
      <c r="D166" s="38"/>
      <c r="E166" s="39"/>
      <c r="F166" s="38"/>
      <c r="G166" s="40"/>
      <c r="H166" s="41"/>
      <c r="I166" s="42"/>
      <c r="J166" s="43"/>
      <c r="K166" s="42"/>
      <c r="L166" s="43"/>
      <c r="M166" s="42"/>
      <c r="N166" s="43"/>
      <c r="O166" s="42"/>
      <c r="P166" s="43"/>
    </row>
    <row r="167" spans="1:16" ht="12.95" hidden="1" customHeight="1">
      <c r="A167" s="3" t="str">
        <f t="shared" si="8"/>
        <v/>
      </c>
      <c r="B167" s="5">
        <f t="shared" si="6"/>
        <v>0.78472222222222077</v>
      </c>
      <c r="C167" s="5">
        <f t="shared" si="7"/>
        <v>0.78819444444444298</v>
      </c>
      <c r="D167" s="38"/>
      <c r="E167" s="39"/>
      <c r="F167" s="38"/>
      <c r="G167" s="40"/>
      <c r="H167" s="41"/>
      <c r="I167" s="42"/>
      <c r="J167" s="43"/>
      <c r="K167" s="42"/>
      <c r="L167" s="43"/>
      <c r="M167" s="42"/>
      <c r="N167" s="43"/>
      <c r="O167" s="42"/>
      <c r="P167" s="43"/>
    </row>
    <row r="168" spans="1:16" ht="12.95" hidden="1" customHeight="1" thickBot="1">
      <c r="A168" s="3" t="str">
        <f t="shared" si="8"/>
        <v/>
      </c>
      <c r="B168" s="6">
        <f t="shared" si="6"/>
        <v>0.78819444444444298</v>
      </c>
      <c r="C168" s="6">
        <f t="shared" si="7"/>
        <v>0.79166666666666519</v>
      </c>
      <c r="D168" s="38"/>
      <c r="E168" s="39"/>
      <c r="F168" s="38"/>
      <c r="G168" s="40"/>
      <c r="H168" s="41"/>
      <c r="I168" s="42"/>
      <c r="J168" s="43"/>
      <c r="K168" s="42"/>
      <c r="L168" s="43"/>
      <c r="M168" s="42"/>
      <c r="N168" s="43"/>
      <c r="O168" s="42"/>
      <c r="P168" s="43"/>
    </row>
    <row r="169" spans="1:16" ht="12.95" customHeight="1">
      <c r="A169" s="3" t="str">
        <f t="shared" si="8"/>
        <v>Thursday</v>
      </c>
      <c r="D169" s="112" t="s">
        <v>339</v>
      </c>
      <c r="E169" s="8"/>
      <c r="F169" s="8"/>
      <c r="G169" s="8"/>
      <c r="H169" s="8"/>
      <c r="I169" s="8"/>
      <c r="J169" s="8"/>
      <c r="K169" s="9"/>
      <c r="L169" s="10"/>
      <c r="M169" s="9"/>
      <c r="N169" s="10"/>
      <c r="O169" s="9"/>
      <c r="P169" s="10"/>
    </row>
    <row r="170" spans="1:16" ht="12.95" customHeight="1">
      <c r="A170" s="3" t="str">
        <f t="shared" si="8"/>
        <v>45841</v>
      </c>
      <c r="D170" s="113">
        <f>D41+1</f>
        <v>45841</v>
      </c>
      <c r="E170" s="11"/>
      <c r="F170" s="11"/>
      <c r="G170" s="11"/>
      <c r="H170" s="11"/>
      <c r="I170" s="8"/>
      <c r="J170" s="8"/>
      <c r="K170" s="9"/>
      <c r="L170" s="10"/>
      <c r="M170" s="9"/>
      <c r="N170" s="10"/>
      <c r="O170" s="9"/>
      <c r="P170" s="10"/>
    </row>
    <row r="171" spans="1:16" ht="12.95" customHeight="1">
      <c r="A171" s="3" t="str">
        <f t="shared" si="8"/>
        <v>8:30 - 9:00Registration &amp; Opening</v>
      </c>
      <c r="B171" s="5">
        <v>0.35416666666666669</v>
      </c>
      <c r="C171" s="5">
        <f>B171+TIME(0,5,0)</f>
        <v>0.3576388888888889</v>
      </c>
      <c r="D171" s="114" t="s">
        <v>15</v>
      </c>
      <c r="E171" s="14" t="s">
        <v>14</v>
      </c>
      <c r="F171" s="13"/>
      <c r="G171" s="16"/>
      <c r="H171" s="17"/>
      <c r="I171" s="18"/>
      <c r="J171" s="19"/>
      <c r="K171" s="18"/>
      <c r="L171" s="19"/>
      <c r="M171" s="18"/>
      <c r="N171" s="19"/>
      <c r="O171" s="18"/>
      <c r="P171" s="19"/>
    </row>
    <row r="172" spans="1:16" ht="12.95" hidden="1" customHeight="1">
      <c r="A172" s="3" t="str">
        <f t="shared" si="8"/>
        <v/>
      </c>
      <c r="B172" s="5">
        <f t="shared" ref="B172:B236" si="9">C171</f>
        <v>0.3576388888888889</v>
      </c>
      <c r="C172" s="5">
        <f t="shared" ref="C172:C236" si="10">B172+TIME(0,5,0)</f>
        <v>0.3611111111111111</v>
      </c>
      <c r="D172" s="13"/>
      <c r="E172" s="14"/>
      <c r="F172" s="13"/>
      <c r="G172" s="16"/>
      <c r="H172" s="17"/>
      <c r="I172" s="18"/>
      <c r="J172" s="19"/>
      <c r="K172" s="18"/>
      <c r="L172" s="19"/>
      <c r="M172" s="18"/>
      <c r="N172" s="19"/>
      <c r="O172" s="18"/>
      <c r="P172" s="19"/>
    </row>
    <row r="173" spans="1:16" ht="12.95" hidden="1" customHeight="1">
      <c r="A173" s="3" t="str">
        <f t="shared" si="8"/>
        <v/>
      </c>
      <c r="B173" s="5">
        <f t="shared" si="9"/>
        <v>0.3611111111111111</v>
      </c>
      <c r="C173" s="5">
        <f t="shared" si="10"/>
        <v>0.36458333333333331</v>
      </c>
      <c r="D173" s="13"/>
      <c r="E173" s="14"/>
      <c r="F173" s="13"/>
      <c r="G173" s="16"/>
      <c r="H173" s="17"/>
      <c r="I173" s="18"/>
      <c r="J173" s="19"/>
      <c r="K173" s="18"/>
      <c r="L173" s="19"/>
      <c r="M173" s="18"/>
      <c r="N173" s="19"/>
      <c r="O173" s="18"/>
      <c r="P173" s="19"/>
    </row>
    <row r="174" spans="1:16" ht="12.95" hidden="1" customHeight="1">
      <c r="A174" s="3" t="str">
        <f t="shared" si="8"/>
        <v/>
      </c>
      <c r="B174" s="5">
        <f t="shared" si="9"/>
        <v>0.36458333333333331</v>
      </c>
      <c r="C174" s="5">
        <f t="shared" si="10"/>
        <v>0.36805555555555552</v>
      </c>
      <c r="D174" s="13"/>
      <c r="E174" s="14"/>
      <c r="F174" s="13"/>
      <c r="G174" s="16"/>
      <c r="H174" s="17"/>
      <c r="I174" s="18"/>
      <c r="J174" s="19"/>
      <c r="K174" s="18"/>
      <c r="L174" s="19"/>
      <c r="M174" s="18"/>
      <c r="N174" s="19"/>
      <c r="O174" s="18"/>
      <c r="P174" s="19"/>
    </row>
    <row r="175" spans="1:16" ht="12.95" hidden="1" customHeight="1">
      <c r="A175" s="3" t="str">
        <f t="shared" si="8"/>
        <v/>
      </c>
      <c r="B175" s="5">
        <f t="shared" si="9"/>
        <v>0.36805555555555552</v>
      </c>
      <c r="C175" s="5">
        <f t="shared" si="10"/>
        <v>0.37152777777777773</v>
      </c>
      <c r="D175" s="13"/>
      <c r="E175" s="14"/>
      <c r="F175" s="13"/>
      <c r="G175" s="16"/>
      <c r="H175" s="17"/>
      <c r="I175" s="18"/>
      <c r="J175" s="19"/>
      <c r="K175" s="18"/>
      <c r="L175" s="19"/>
      <c r="M175" s="18"/>
      <c r="N175" s="19"/>
      <c r="O175" s="18"/>
      <c r="P175" s="19"/>
    </row>
    <row r="176" spans="1:16" ht="12.95" hidden="1" customHeight="1" thickBot="1">
      <c r="A176" s="3" t="str">
        <f t="shared" si="8"/>
        <v/>
      </c>
      <c r="B176" s="6">
        <f t="shared" si="9"/>
        <v>0.37152777777777773</v>
      </c>
      <c r="C176" s="6">
        <f t="shared" si="10"/>
        <v>0.37499999999999994</v>
      </c>
      <c r="D176" s="13"/>
      <c r="E176" s="14"/>
      <c r="F176" s="13"/>
      <c r="G176" s="16"/>
      <c r="H176" s="17"/>
      <c r="I176" s="18"/>
      <c r="J176" s="19"/>
      <c r="K176" s="18"/>
      <c r="L176" s="19"/>
      <c r="M176" s="18"/>
      <c r="N176" s="19"/>
      <c r="O176" s="18"/>
      <c r="P176" s="19"/>
    </row>
    <row r="177" spans="1:16" ht="12.95" customHeight="1">
      <c r="A177" s="3" t="str">
        <f t="shared" si="8"/>
        <v>9:00 - 10:00Keynote 3: WANYU HE</v>
      </c>
      <c r="B177" s="5">
        <f t="shared" si="9"/>
        <v>0.37499999999999994</v>
      </c>
      <c r="C177" s="5">
        <f t="shared" si="10"/>
        <v>0.37847222222222215</v>
      </c>
      <c r="D177" s="116" t="s">
        <v>128</v>
      </c>
      <c r="E177" s="33" t="s">
        <v>127</v>
      </c>
      <c r="F177" s="32"/>
      <c r="G177" s="34"/>
      <c r="H177" s="35"/>
      <c r="I177" s="36"/>
      <c r="J177" s="37"/>
      <c r="K177" s="36"/>
      <c r="L177" s="37"/>
      <c r="M177" s="36"/>
      <c r="N177" s="37"/>
      <c r="O177" s="36"/>
      <c r="P177" s="37"/>
    </row>
    <row r="178" spans="1:16" ht="12.95" hidden="1" customHeight="1">
      <c r="A178" s="3" t="str">
        <f t="shared" si="8"/>
        <v/>
      </c>
      <c r="B178" s="5">
        <f t="shared" si="9"/>
        <v>0.37847222222222215</v>
      </c>
      <c r="C178" s="5">
        <f t="shared" si="10"/>
        <v>0.38194444444444436</v>
      </c>
      <c r="D178" s="32"/>
      <c r="E178" s="33"/>
      <c r="F178" s="32"/>
      <c r="G178" s="34"/>
      <c r="H178" s="35"/>
      <c r="I178" s="36"/>
      <c r="J178" s="37"/>
      <c r="K178" s="36"/>
      <c r="L178" s="37"/>
      <c r="M178" s="36"/>
      <c r="N178" s="37"/>
      <c r="O178" s="36"/>
      <c r="P178" s="37"/>
    </row>
    <row r="179" spans="1:16" ht="12.95" hidden="1" customHeight="1">
      <c r="A179" s="3" t="str">
        <f t="shared" si="8"/>
        <v/>
      </c>
      <c r="B179" s="5">
        <f t="shared" si="9"/>
        <v>0.38194444444444436</v>
      </c>
      <c r="C179" s="5">
        <f t="shared" si="10"/>
        <v>0.38541666666666657</v>
      </c>
      <c r="D179" s="32"/>
      <c r="E179" s="33"/>
      <c r="F179" s="32"/>
      <c r="G179" s="34"/>
      <c r="H179" s="35"/>
      <c r="I179" s="36"/>
      <c r="J179" s="37"/>
      <c r="K179" s="36"/>
      <c r="L179" s="37"/>
      <c r="M179" s="36"/>
      <c r="N179" s="37"/>
      <c r="O179" s="36"/>
      <c r="P179" s="37"/>
    </row>
    <row r="180" spans="1:16" ht="12.95" hidden="1" customHeight="1">
      <c r="A180" s="3" t="str">
        <f t="shared" si="8"/>
        <v/>
      </c>
      <c r="B180" s="5">
        <f t="shared" si="9"/>
        <v>0.38541666666666657</v>
      </c>
      <c r="C180" s="5">
        <f t="shared" si="10"/>
        <v>0.38888888888888878</v>
      </c>
      <c r="D180" s="32"/>
      <c r="E180" s="33"/>
      <c r="F180" s="32"/>
      <c r="G180" s="34"/>
      <c r="H180" s="35"/>
      <c r="I180" s="36"/>
      <c r="J180" s="37"/>
      <c r="K180" s="36"/>
      <c r="L180" s="37"/>
      <c r="M180" s="36"/>
      <c r="N180" s="37"/>
      <c r="O180" s="36"/>
      <c r="P180" s="37"/>
    </row>
    <row r="181" spans="1:16" ht="12.95" hidden="1" customHeight="1">
      <c r="A181" s="3" t="str">
        <f t="shared" si="8"/>
        <v/>
      </c>
      <c r="B181" s="5">
        <f t="shared" si="9"/>
        <v>0.38888888888888878</v>
      </c>
      <c r="C181" s="5">
        <f t="shared" si="10"/>
        <v>0.39236111111111099</v>
      </c>
      <c r="D181" s="32"/>
      <c r="E181" s="33"/>
      <c r="F181" s="32"/>
      <c r="G181" s="34"/>
      <c r="H181" s="35"/>
      <c r="I181" s="36"/>
      <c r="J181" s="37"/>
      <c r="K181" s="36"/>
      <c r="L181" s="37"/>
      <c r="M181" s="36"/>
      <c r="N181" s="37"/>
      <c r="O181" s="36"/>
      <c r="P181" s="37"/>
    </row>
    <row r="182" spans="1:16" ht="12.95" hidden="1" customHeight="1">
      <c r="A182" s="3" t="str">
        <f t="shared" si="8"/>
        <v/>
      </c>
      <c r="B182" s="5">
        <f t="shared" si="9"/>
        <v>0.39236111111111099</v>
      </c>
      <c r="C182" s="5">
        <f t="shared" si="10"/>
        <v>0.3958333333333332</v>
      </c>
      <c r="D182" s="32"/>
      <c r="E182" s="33"/>
      <c r="F182" s="32"/>
      <c r="G182" s="34"/>
      <c r="H182" s="35"/>
      <c r="I182" s="36"/>
      <c r="J182" s="37"/>
      <c r="K182" s="36"/>
      <c r="L182" s="37"/>
      <c r="M182" s="36"/>
      <c r="N182" s="37"/>
      <c r="O182" s="36"/>
      <c r="P182" s="37"/>
    </row>
    <row r="183" spans="1:16" ht="12.95" hidden="1" customHeight="1">
      <c r="A183" s="3" t="str">
        <f t="shared" si="8"/>
        <v/>
      </c>
      <c r="B183" s="5">
        <f t="shared" si="9"/>
        <v>0.3958333333333332</v>
      </c>
      <c r="C183" s="5">
        <f t="shared" si="10"/>
        <v>0.39930555555555541</v>
      </c>
      <c r="D183" s="32"/>
      <c r="E183" s="33"/>
      <c r="F183" s="32"/>
      <c r="G183" s="34"/>
      <c r="H183" s="35"/>
      <c r="I183" s="36"/>
      <c r="J183" s="37"/>
      <c r="K183" s="36"/>
      <c r="L183" s="37"/>
      <c r="M183" s="36"/>
      <c r="N183" s="37"/>
      <c r="O183" s="36"/>
      <c r="P183" s="37"/>
    </row>
    <row r="184" spans="1:16" ht="12.95" hidden="1" customHeight="1">
      <c r="A184" s="3" t="str">
        <f t="shared" si="8"/>
        <v/>
      </c>
      <c r="B184" s="5">
        <f t="shared" si="9"/>
        <v>0.39930555555555541</v>
      </c>
      <c r="C184" s="5">
        <f t="shared" si="10"/>
        <v>0.40277777777777762</v>
      </c>
      <c r="D184" s="32"/>
      <c r="E184" s="33"/>
      <c r="F184" s="32"/>
      <c r="G184" s="34"/>
      <c r="H184" s="35"/>
      <c r="I184" s="36"/>
      <c r="J184" s="37"/>
      <c r="K184" s="36"/>
      <c r="L184" s="37"/>
      <c r="M184" s="36"/>
      <c r="N184" s="37"/>
      <c r="O184" s="36"/>
      <c r="P184" s="37"/>
    </row>
    <row r="185" spans="1:16" ht="12.95" hidden="1" customHeight="1">
      <c r="A185" s="3" t="str">
        <f t="shared" si="8"/>
        <v/>
      </c>
      <c r="B185" s="5">
        <f t="shared" si="9"/>
        <v>0.40277777777777762</v>
      </c>
      <c r="C185" s="5">
        <f t="shared" si="10"/>
        <v>0.40624999999999983</v>
      </c>
      <c r="D185" s="32"/>
      <c r="E185" s="33"/>
      <c r="F185" s="32"/>
      <c r="G185" s="34"/>
      <c r="H185" s="35"/>
      <c r="I185" s="36"/>
      <c r="J185" s="37"/>
      <c r="K185" s="36"/>
      <c r="L185" s="37"/>
      <c r="M185" s="36"/>
      <c r="N185" s="37"/>
      <c r="O185" s="36"/>
      <c r="P185" s="37"/>
    </row>
    <row r="186" spans="1:16" ht="12.95" hidden="1" customHeight="1">
      <c r="A186" s="3" t="str">
        <f t="shared" si="8"/>
        <v/>
      </c>
      <c r="B186" s="5">
        <f t="shared" si="9"/>
        <v>0.40624999999999983</v>
      </c>
      <c r="C186" s="5">
        <f t="shared" si="10"/>
        <v>0.40972222222222204</v>
      </c>
      <c r="D186" s="32"/>
      <c r="E186" s="33"/>
      <c r="F186" s="32"/>
      <c r="G186" s="34"/>
      <c r="H186" s="35"/>
      <c r="I186" s="36"/>
      <c r="J186" s="37"/>
      <c r="K186" s="36"/>
      <c r="L186" s="37"/>
      <c r="M186" s="36"/>
      <c r="N186" s="37"/>
      <c r="O186" s="36"/>
      <c r="P186" s="37"/>
    </row>
    <row r="187" spans="1:16" ht="12.95" hidden="1" customHeight="1">
      <c r="A187" s="3" t="str">
        <f t="shared" si="8"/>
        <v/>
      </c>
      <c r="B187" s="5">
        <f t="shared" si="9"/>
        <v>0.40972222222222204</v>
      </c>
      <c r="C187" s="5">
        <f t="shared" si="10"/>
        <v>0.41319444444444425</v>
      </c>
      <c r="D187" s="32"/>
      <c r="E187" s="33"/>
      <c r="F187" s="32"/>
      <c r="G187" s="34"/>
      <c r="H187" s="35"/>
      <c r="I187" s="36"/>
      <c r="J187" s="37"/>
      <c r="K187" s="36"/>
      <c r="L187" s="37"/>
      <c r="M187" s="36"/>
      <c r="N187" s="37"/>
      <c r="O187" s="36"/>
      <c r="P187" s="37"/>
    </row>
    <row r="188" spans="1:16" ht="12.95" hidden="1" customHeight="1" thickBot="1">
      <c r="A188" s="3" t="str">
        <f t="shared" si="8"/>
        <v/>
      </c>
      <c r="B188" s="6">
        <f t="shared" si="9"/>
        <v>0.41319444444444425</v>
      </c>
      <c r="C188" s="6">
        <f t="shared" si="10"/>
        <v>0.41666666666666646</v>
      </c>
      <c r="D188" s="32"/>
      <c r="E188" s="33"/>
      <c r="F188" s="32"/>
      <c r="G188" s="34"/>
      <c r="H188" s="35"/>
      <c r="I188" s="36"/>
      <c r="J188" s="37"/>
      <c r="K188" s="36"/>
      <c r="L188" s="37"/>
      <c r="M188" s="36"/>
      <c r="N188" s="37"/>
      <c r="O188" s="36"/>
      <c r="P188" s="37"/>
    </row>
    <row r="189" spans="1:16" ht="12.95" customHeight="1">
      <c r="A189" s="3" t="str">
        <f t="shared" si="8"/>
        <v>10:00 - 10:10Break</v>
      </c>
      <c r="B189" s="5">
        <f t="shared" si="9"/>
        <v>0.41666666666666646</v>
      </c>
      <c r="C189" s="5">
        <f t="shared" si="10"/>
        <v>0.42013888888888867</v>
      </c>
      <c r="D189" s="114" t="s">
        <v>129</v>
      </c>
      <c r="E189" s="14" t="s">
        <v>24</v>
      </c>
      <c r="F189" s="13"/>
      <c r="G189" s="16"/>
      <c r="H189" s="17"/>
      <c r="I189" s="18"/>
      <c r="J189" s="19"/>
      <c r="K189" s="18"/>
      <c r="L189" s="19"/>
      <c r="M189" s="18"/>
      <c r="N189" s="19"/>
      <c r="O189" s="18"/>
      <c r="P189" s="19"/>
    </row>
    <row r="190" spans="1:16" ht="12.95" hidden="1" customHeight="1">
      <c r="A190" s="3" t="str">
        <f t="shared" si="8"/>
        <v/>
      </c>
      <c r="B190" s="5">
        <f t="shared" si="9"/>
        <v>0.42013888888888867</v>
      </c>
      <c r="C190" s="5">
        <f t="shared" si="10"/>
        <v>0.42361111111111088</v>
      </c>
      <c r="D190" s="13"/>
      <c r="E190" s="14"/>
      <c r="F190" s="13"/>
      <c r="G190" s="16"/>
      <c r="H190" s="17"/>
      <c r="I190" s="18"/>
      <c r="J190" s="19"/>
      <c r="K190" s="18"/>
      <c r="L190" s="19"/>
      <c r="M190" s="18"/>
      <c r="N190" s="19"/>
      <c r="O190" s="18"/>
      <c r="P190" s="19"/>
    </row>
    <row r="191" spans="1:16" ht="12.95" customHeight="1">
      <c r="A191" s="3" t="str">
        <f t="shared" si="8"/>
        <v>10:10 - 10:30Catalytic Interfaces - Check In</v>
      </c>
      <c r="B191" s="5">
        <f t="shared" si="9"/>
        <v>0.42361111111111088</v>
      </c>
      <c r="C191" s="5">
        <f t="shared" si="10"/>
        <v>0.42708333333333309</v>
      </c>
      <c r="D191" s="117" t="s">
        <v>130</v>
      </c>
      <c r="E191" s="39" t="s">
        <v>28</v>
      </c>
      <c r="F191" s="38"/>
      <c r="G191" s="40"/>
      <c r="H191" s="41"/>
      <c r="I191" s="42"/>
      <c r="J191" s="43"/>
      <c r="K191" s="42"/>
      <c r="L191" s="43"/>
      <c r="M191" s="42"/>
      <c r="N191" s="43"/>
      <c r="O191" s="42"/>
      <c r="P191" s="43"/>
    </row>
    <row r="192" spans="1:16" ht="12.95" hidden="1" customHeight="1">
      <c r="A192" s="3" t="str">
        <f t="shared" si="8"/>
        <v/>
      </c>
      <c r="B192" s="5">
        <f t="shared" si="9"/>
        <v>0.42708333333333309</v>
      </c>
      <c r="C192" s="5">
        <f t="shared" si="10"/>
        <v>0.4305555555555553</v>
      </c>
      <c r="D192" s="38"/>
      <c r="E192" s="39"/>
      <c r="F192" s="38"/>
      <c r="G192" s="40"/>
      <c r="H192" s="41"/>
      <c r="I192" s="42"/>
      <c r="J192" s="43"/>
      <c r="K192" s="42"/>
      <c r="L192" s="43"/>
      <c r="M192" s="42"/>
      <c r="N192" s="43"/>
      <c r="O192" s="42"/>
      <c r="P192" s="43"/>
    </row>
    <row r="193" spans="1:16" ht="12.95" hidden="1" customHeight="1">
      <c r="A193" s="3" t="str">
        <f t="shared" si="8"/>
        <v/>
      </c>
      <c r="B193" s="5">
        <f t="shared" si="9"/>
        <v>0.4305555555555553</v>
      </c>
      <c r="C193" s="5">
        <f t="shared" si="10"/>
        <v>0.43402777777777751</v>
      </c>
      <c r="D193" s="38"/>
      <c r="E193" s="39"/>
      <c r="F193" s="38"/>
      <c r="G193" s="40"/>
      <c r="H193" s="41"/>
      <c r="I193" s="42"/>
      <c r="J193" s="43"/>
      <c r="K193" s="42"/>
      <c r="L193" s="43"/>
      <c r="M193" s="42"/>
      <c r="N193" s="43"/>
      <c r="O193" s="42"/>
      <c r="P193" s="43"/>
    </row>
    <row r="194" spans="1:16" ht="12.95" hidden="1" customHeight="1">
      <c r="A194" s="3" t="str">
        <f t="shared" si="8"/>
        <v/>
      </c>
      <c r="B194" s="5">
        <f t="shared" si="9"/>
        <v>0.43402777777777751</v>
      </c>
      <c r="C194" s="5">
        <f t="shared" si="10"/>
        <v>0.43749999999999972</v>
      </c>
      <c r="D194" s="38"/>
      <c r="E194" s="39"/>
      <c r="F194" s="38"/>
      <c r="G194" s="40"/>
      <c r="H194" s="41"/>
      <c r="I194" s="42"/>
      <c r="J194" s="43"/>
      <c r="K194" s="42"/>
      <c r="L194" s="43"/>
      <c r="M194" s="42"/>
      <c r="N194" s="43"/>
      <c r="O194" s="42"/>
      <c r="P194" s="43"/>
    </row>
    <row r="195" spans="1:16" ht="12.95" customHeight="1">
      <c r="A195" s="3" t="str">
        <f t="shared" si="8"/>
        <v>10:30 - 11:55Speaker-driven Selected Paper Session 2:
URBAN PERCEPTIONS &amp; PATTERNS I10:30 - 10:35intro</v>
      </c>
      <c r="B195" s="5">
        <f t="shared" si="9"/>
        <v>0.43749999999999972</v>
      </c>
      <c r="C195" s="5">
        <f t="shared" si="10"/>
        <v>0.44097222222222193</v>
      </c>
      <c r="D195" s="118" t="s">
        <v>134</v>
      </c>
      <c r="E195" s="45" t="s">
        <v>340</v>
      </c>
      <c r="F195" s="44" t="s">
        <v>136</v>
      </c>
      <c r="G195" s="46"/>
      <c r="H195" s="47" t="s">
        <v>37</v>
      </c>
      <c r="I195" s="48"/>
      <c r="J195" s="49"/>
      <c r="K195" s="48"/>
      <c r="L195" s="49"/>
      <c r="M195" s="48"/>
      <c r="N195" s="49"/>
      <c r="O195" s="48"/>
      <c r="P195" s="49"/>
    </row>
    <row r="196" spans="1:16" ht="12.95" customHeight="1">
      <c r="A196" s="3" t="str">
        <f t="shared" ref="A196:A260" si="11">_xlfn.CONCAT(D196:N196)</f>
        <v>10:35 - 10:50148AN URBAN MORPHOLOGY ANALYSIS FRAMEWORK FOR SYNERGISTIC IMPROVEMENT OF MULTIPLE PERFORMANCE OBJECTIVES: EXEMPLIFIED BY OUTDOOR THERMAL COMFORT AND BUILDING ENERGY EFFICIENCY
By Minghao Wang, Chi Zhang and Yuchen Qin</v>
      </c>
      <c r="B196" s="5">
        <f t="shared" si="9"/>
        <v>0.44097222222222193</v>
      </c>
      <c r="C196" s="5">
        <f t="shared" si="10"/>
        <v>0.44444444444444414</v>
      </c>
      <c r="D196" s="118"/>
      <c r="E196" s="50"/>
      <c r="F196" s="51" t="s">
        <v>137</v>
      </c>
      <c r="G196" s="46">
        <v>148</v>
      </c>
      <c r="H196" s="52" t="s">
        <v>142</v>
      </c>
      <c r="I196" s="48"/>
      <c r="J196" s="53"/>
      <c r="K196" s="48"/>
      <c r="L196" s="53"/>
      <c r="M196" s="48"/>
      <c r="N196" s="53"/>
      <c r="O196" s="48"/>
      <c r="P196" s="53"/>
    </row>
    <row r="197" spans="1:16" ht="12.95" hidden="1" customHeight="1">
      <c r="A197" s="3" t="str">
        <f t="shared" si="11"/>
        <v/>
      </c>
      <c r="B197" s="5">
        <f t="shared" si="9"/>
        <v>0.44444444444444414</v>
      </c>
      <c r="C197" s="5">
        <f t="shared" si="10"/>
        <v>0.44791666666666635</v>
      </c>
      <c r="D197" s="44"/>
      <c r="E197" s="50"/>
      <c r="F197" s="44"/>
      <c r="G197" s="46"/>
      <c r="H197" s="47"/>
      <c r="I197" s="48"/>
      <c r="J197" s="49"/>
      <c r="K197" s="48"/>
      <c r="L197" s="49"/>
      <c r="M197" s="48"/>
      <c r="N197" s="49"/>
      <c r="O197" s="48"/>
      <c r="P197" s="49"/>
    </row>
    <row r="198" spans="1:16" ht="12.95" hidden="1" customHeight="1">
      <c r="A198" s="3" t="str">
        <f t="shared" si="11"/>
        <v/>
      </c>
      <c r="B198" s="5">
        <f t="shared" si="9"/>
        <v>0.44791666666666635</v>
      </c>
      <c r="C198" s="5">
        <f t="shared" si="10"/>
        <v>0.45138888888888856</v>
      </c>
      <c r="D198" s="44"/>
      <c r="E198" s="50"/>
      <c r="F198" s="44"/>
      <c r="G198" s="46"/>
      <c r="H198" s="47"/>
      <c r="I198" s="48"/>
      <c r="J198" s="49"/>
      <c r="K198" s="48"/>
      <c r="L198" s="49"/>
      <c r="M198" s="48"/>
      <c r="N198" s="49"/>
      <c r="O198" s="48"/>
      <c r="P198" s="49"/>
    </row>
    <row r="199" spans="1:16" ht="12.95" customHeight="1">
      <c r="A199" s="3" t="str">
        <f t="shared" si="11"/>
        <v xml:space="preserve">10:50 - 11:0555SHADOW-BASED PATH DETECTION IN RAPIDLY EXPANDING URBAN AREAS: UTILIZING SHADOW DETECTION AND GRAPH-BASED VECTORIZATION TO UNCOVER INFORMAL ROAD NETWORKS IN HIGH-DENSITY SLUM AREAS
By </v>
      </c>
      <c r="B199" s="5">
        <f t="shared" si="9"/>
        <v>0.45138888888888856</v>
      </c>
      <c r="C199" s="5">
        <f t="shared" si="10"/>
        <v>0.45486111111111077</v>
      </c>
      <c r="D199" s="118"/>
      <c r="E199" s="50"/>
      <c r="F199" s="51" t="s">
        <v>139</v>
      </c>
      <c r="G199" s="46">
        <v>55</v>
      </c>
      <c r="H199" s="52" t="s">
        <v>341</v>
      </c>
      <c r="I199" s="48"/>
      <c r="J199" s="53"/>
      <c r="K199" s="48"/>
      <c r="L199" s="53"/>
      <c r="M199" s="48"/>
      <c r="N199" s="53"/>
      <c r="O199" s="48"/>
      <c r="P199" s="53"/>
    </row>
    <row r="200" spans="1:16" ht="12.95" hidden="1" customHeight="1" thickBot="1">
      <c r="A200" s="3" t="str">
        <f t="shared" si="11"/>
        <v/>
      </c>
      <c r="B200" s="6">
        <f t="shared" si="9"/>
        <v>0.45486111111111077</v>
      </c>
      <c r="C200" s="6">
        <f t="shared" si="10"/>
        <v>0.45833333333333298</v>
      </c>
      <c r="D200" s="44"/>
      <c r="E200" s="50"/>
      <c r="F200" s="44"/>
      <c r="G200" s="46"/>
      <c r="H200" s="47"/>
      <c r="I200" s="48"/>
      <c r="J200" s="49"/>
      <c r="K200" s="48"/>
      <c r="L200" s="49"/>
      <c r="M200" s="48"/>
      <c r="N200" s="49"/>
      <c r="O200" s="48"/>
      <c r="P200" s="49"/>
    </row>
    <row r="201" spans="1:16" ht="12.95" hidden="1" customHeight="1">
      <c r="A201" s="3" t="str">
        <f t="shared" si="11"/>
        <v/>
      </c>
      <c r="B201" s="5">
        <f t="shared" si="9"/>
        <v>0.45833333333333298</v>
      </c>
      <c r="C201" s="5">
        <f t="shared" si="10"/>
        <v>0.46180555555555519</v>
      </c>
      <c r="D201" s="44"/>
      <c r="E201" s="50"/>
      <c r="F201" s="44"/>
      <c r="G201" s="46"/>
      <c r="H201" s="47"/>
      <c r="I201" s="48"/>
      <c r="J201" s="49"/>
      <c r="K201" s="48"/>
      <c r="L201" s="49"/>
      <c r="M201" s="48"/>
      <c r="N201" s="49"/>
      <c r="O201" s="48"/>
      <c r="P201" s="49"/>
    </row>
    <row r="202" spans="1:16" ht="12.95" customHeight="1">
      <c r="A202" s="3" t="str">
        <f t="shared" si="11"/>
        <v>11:05 - 11:20329A GRAPH-BASED PREDICTION MODEL FOR SUSTAINABLE URBAN RENEWAL: INTEGRATING GRAPH CONVOLUTIONAL NETWORKS FOR CONCRETE RECYCLING POTENTIAL EVALUATION
By Haoyang He, Han Li, Wanyu Pei, Shuyang Li and Rudi Stouffs</v>
      </c>
      <c r="B202" s="5">
        <f t="shared" si="9"/>
        <v>0.46180555555555519</v>
      </c>
      <c r="C202" s="5">
        <f t="shared" si="10"/>
        <v>0.4652777777777774</v>
      </c>
      <c r="D202" s="118"/>
      <c r="E202" s="50"/>
      <c r="F202" s="51" t="s">
        <v>141</v>
      </c>
      <c r="G202" s="46">
        <v>329</v>
      </c>
      <c r="H202" s="52" t="s">
        <v>138</v>
      </c>
      <c r="I202" s="48"/>
      <c r="J202" s="53"/>
      <c r="K202" s="48"/>
      <c r="L202" s="53"/>
      <c r="M202" s="48"/>
      <c r="N202" s="53"/>
      <c r="O202" s="48"/>
      <c r="P202" s="53"/>
    </row>
    <row r="203" spans="1:16" ht="12.95" hidden="1" customHeight="1">
      <c r="A203" s="3" t="str">
        <f t="shared" si="11"/>
        <v/>
      </c>
      <c r="B203" s="5">
        <f t="shared" si="9"/>
        <v>0.4652777777777774</v>
      </c>
      <c r="C203" s="5">
        <f t="shared" si="10"/>
        <v>0.46874999999999961</v>
      </c>
      <c r="D203" s="44"/>
      <c r="E203" s="50"/>
      <c r="F203" s="44"/>
      <c r="G203" s="46"/>
      <c r="H203" s="47"/>
      <c r="I203" s="48"/>
      <c r="J203" s="49"/>
      <c r="K203" s="48"/>
      <c r="L203" s="49"/>
      <c r="M203" s="48"/>
      <c r="N203" s="49"/>
      <c r="O203" s="48"/>
      <c r="P203" s="49"/>
    </row>
    <row r="204" spans="1:16" ht="12.95" hidden="1" customHeight="1">
      <c r="A204" s="3" t="str">
        <f t="shared" si="11"/>
        <v/>
      </c>
      <c r="B204" s="5">
        <f t="shared" si="9"/>
        <v>0.46874999999999961</v>
      </c>
      <c r="C204" s="5">
        <f t="shared" si="10"/>
        <v>0.47222222222222182</v>
      </c>
      <c r="D204" s="44"/>
      <c r="E204" s="50"/>
      <c r="F204" s="44"/>
      <c r="G204" s="46"/>
      <c r="H204" s="47"/>
      <c r="I204" s="48"/>
      <c r="J204" s="49"/>
      <c r="K204" s="48"/>
      <c r="L204" s="49"/>
      <c r="M204" s="48"/>
      <c r="N204" s="49"/>
      <c r="O204" s="48"/>
      <c r="P204" s="49"/>
    </row>
    <row r="205" spans="1:16" ht="12.95" customHeight="1">
      <c r="A205" s="3" t="str">
        <f t="shared" si="11"/>
        <v>11:20 - 11:35262DIGITAL DESIGN SUPPORT FOR UAV DELIVERY NOISE REDUCTION STRATEGIES IN HIGH DENSITY URBAN ENVIRONMENTS
By le zhao , Christiane M. HERR (Regular) , Thomas FISCHER (Regular)</v>
      </c>
      <c r="B205" s="5">
        <f t="shared" si="9"/>
        <v>0.47222222222222182</v>
      </c>
      <c r="C205" s="5">
        <f t="shared" si="10"/>
        <v>0.47569444444444403</v>
      </c>
      <c r="D205" s="118"/>
      <c r="E205" s="50"/>
      <c r="F205" s="51" t="s">
        <v>143</v>
      </c>
      <c r="G205" s="46">
        <v>262</v>
      </c>
      <c r="H205" s="52" t="s">
        <v>144</v>
      </c>
      <c r="I205" s="48"/>
      <c r="J205" s="53"/>
      <c r="K205" s="48"/>
      <c r="L205" s="53"/>
      <c r="M205" s="48"/>
      <c r="N205" s="53"/>
      <c r="O205" s="48"/>
      <c r="P205" s="53"/>
    </row>
    <row r="206" spans="1:16" ht="12.95" hidden="1" customHeight="1">
      <c r="A206" s="3" t="str">
        <f t="shared" si="11"/>
        <v/>
      </c>
      <c r="B206" s="5">
        <f t="shared" si="9"/>
        <v>0.47569444444444403</v>
      </c>
      <c r="C206" s="5">
        <f t="shared" si="10"/>
        <v>0.47916666666666624</v>
      </c>
      <c r="D206" s="44"/>
      <c r="E206" s="50"/>
      <c r="F206" s="44"/>
      <c r="G206" s="46"/>
      <c r="H206" s="47"/>
      <c r="I206" s="48"/>
      <c r="J206" s="49"/>
      <c r="K206" s="48"/>
      <c r="L206" s="49"/>
      <c r="M206" s="48"/>
      <c r="N206" s="49"/>
      <c r="O206" s="48"/>
      <c r="P206" s="49"/>
    </row>
    <row r="207" spans="1:16" ht="12.95" hidden="1" customHeight="1">
      <c r="A207" s="3" t="str">
        <f t="shared" si="11"/>
        <v/>
      </c>
      <c r="B207" s="5">
        <f t="shared" si="9"/>
        <v>0.47916666666666624</v>
      </c>
      <c r="C207" s="5">
        <f t="shared" si="10"/>
        <v>0.48263888888888845</v>
      </c>
      <c r="D207" s="44"/>
      <c r="E207" s="50"/>
      <c r="F207" s="44"/>
      <c r="G207" s="46"/>
      <c r="H207" s="47"/>
      <c r="I207" s="48"/>
      <c r="J207" s="49"/>
      <c r="K207" s="48"/>
      <c r="L207" s="49"/>
      <c r="M207" s="48"/>
      <c r="N207" s="49"/>
      <c r="O207" s="48"/>
      <c r="P207" s="49"/>
    </row>
    <row r="208" spans="1:16" ht="12.95" customHeight="1">
      <c r="A208" s="3" t="str">
        <f t="shared" si="11"/>
        <v>11:35 - 11:55Discussion</v>
      </c>
      <c r="B208" s="5">
        <f t="shared" si="9"/>
        <v>0.48263888888888845</v>
      </c>
      <c r="C208" s="5">
        <f t="shared" si="10"/>
        <v>0.48611111111111066</v>
      </c>
      <c r="D208" s="118"/>
      <c r="E208" s="50"/>
      <c r="F208" s="51" t="s">
        <v>145</v>
      </c>
      <c r="G208" s="46"/>
      <c r="H208" s="52" t="s">
        <v>45</v>
      </c>
      <c r="I208" s="48"/>
      <c r="J208" s="53"/>
      <c r="K208" s="48"/>
      <c r="L208" s="53"/>
      <c r="M208" s="48"/>
      <c r="N208" s="53"/>
      <c r="O208" s="48"/>
      <c r="P208" s="53"/>
    </row>
    <row r="209" spans="1:16" ht="12.95" hidden="1" customHeight="1">
      <c r="A209" s="3" t="str">
        <f t="shared" si="11"/>
        <v/>
      </c>
      <c r="B209" s="5">
        <f t="shared" si="9"/>
        <v>0.48611111111111066</v>
      </c>
      <c r="C209" s="5">
        <f t="shared" si="10"/>
        <v>0.48958333333333287</v>
      </c>
      <c r="D209" s="44"/>
      <c r="E209" s="50"/>
      <c r="F209" s="44"/>
      <c r="G209" s="46"/>
      <c r="H209" s="47"/>
      <c r="I209" s="48"/>
      <c r="J209" s="49"/>
      <c r="K209" s="48"/>
      <c r="L209" s="49"/>
      <c r="M209" s="48"/>
      <c r="N209" s="49"/>
      <c r="O209" s="48"/>
      <c r="P209" s="49"/>
    </row>
    <row r="210" spans="1:16" ht="12.95" hidden="1" customHeight="1">
      <c r="A210" s="3" t="str">
        <f t="shared" si="11"/>
        <v/>
      </c>
      <c r="B210" s="5">
        <f t="shared" si="9"/>
        <v>0.48958333333333287</v>
      </c>
      <c r="C210" s="5">
        <f t="shared" si="10"/>
        <v>0.49305555555555508</v>
      </c>
      <c r="D210" s="44"/>
      <c r="E210" s="50"/>
      <c r="F210" s="44"/>
      <c r="G210" s="46"/>
      <c r="H210" s="47"/>
      <c r="I210" s="48"/>
      <c r="J210" s="49"/>
      <c r="K210" s="48"/>
      <c r="L210" s="49"/>
      <c r="M210" s="48"/>
      <c r="N210" s="49"/>
      <c r="O210" s="48"/>
      <c r="P210" s="49"/>
    </row>
    <row r="211" spans="1:16" ht="12.95" hidden="1" customHeight="1">
      <c r="A211" s="3" t="str">
        <f t="shared" si="11"/>
        <v/>
      </c>
      <c r="B211" s="5">
        <f t="shared" si="9"/>
        <v>0.49305555555555508</v>
      </c>
      <c r="C211" s="5">
        <f t="shared" si="10"/>
        <v>0.49652777777777729</v>
      </c>
      <c r="D211" s="44"/>
      <c r="E211" s="50"/>
      <c r="F211" s="44"/>
      <c r="G211" s="46"/>
      <c r="H211" s="47"/>
      <c r="I211" s="48"/>
      <c r="J211" s="49"/>
      <c r="K211" s="48"/>
      <c r="L211" s="49"/>
      <c r="M211" s="48"/>
      <c r="N211" s="49"/>
      <c r="O211" s="48"/>
      <c r="P211" s="49"/>
    </row>
    <row r="212" spans="1:16" ht="12.95" customHeight="1" thickBot="1">
      <c r="A212" s="3" t="str">
        <f t="shared" si="11"/>
        <v>11:55 - 12:45Lunch Break / Poster Viewing</v>
      </c>
      <c r="B212" s="6">
        <f t="shared" si="9"/>
        <v>0.49652777777777729</v>
      </c>
      <c r="C212" s="6">
        <f t="shared" si="10"/>
        <v>0.4999999999999995</v>
      </c>
      <c r="D212" s="115" t="s">
        <v>146</v>
      </c>
      <c r="E212" s="21" t="s">
        <v>46</v>
      </c>
      <c r="F212" s="20"/>
      <c r="G212" s="22"/>
      <c r="H212" s="23"/>
      <c r="I212" s="24"/>
      <c r="J212" s="25"/>
      <c r="K212" s="24"/>
      <c r="L212" s="25"/>
      <c r="M212" s="24"/>
      <c r="N212" s="25"/>
      <c r="O212" s="24"/>
      <c r="P212" s="25"/>
    </row>
    <row r="213" spans="1:16" ht="12.95" hidden="1" customHeight="1">
      <c r="A213" s="3" t="str">
        <f t="shared" si="11"/>
        <v/>
      </c>
      <c r="B213" s="5">
        <f t="shared" si="9"/>
        <v>0.4999999999999995</v>
      </c>
      <c r="C213" s="5">
        <f t="shared" si="10"/>
        <v>0.50347222222222177</v>
      </c>
      <c r="D213" s="20"/>
      <c r="E213" s="21"/>
      <c r="F213" s="20"/>
      <c r="G213" s="22"/>
      <c r="H213" s="23"/>
      <c r="I213" s="24"/>
      <c r="J213" s="25"/>
      <c r="K213" s="24"/>
      <c r="L213" s="25"/>
      <c r="M213" s="24"/>
      <c r="N213" s="25"/>
      <c r="O213" s="24"/>
      <c r="P213" s="25"/>
    </row>
    <row r="214" spans="1:16" ht="12.95" hidden="1" customHeight="1">
      <c r="A214" s="3" t="str">
        <f t="shared" si="11"/>
        <v/>
      </c>
      <c r="B214" s="5">
        <f t="shared" si="9"/>
        <v>0.50347222222222177</v>
      </c>
      <c r="C214" s="5">
        <f t="shared" si="10"/>
        <v>0.50694444444444398</v>
      </c>
      <c r="D214" s="20"/>
      <c r="E214" s="21"/>
      <c r="F214" s="20"/>
      <c r="G214" s="22"/>
      <c r="H214" s="23"/>
      <c r="I214" s="24"/>
      <c r="J214" s="25"/>
      <c r="K214" s="24"/>
      <c r="L214" s="25"/>
      <c r="M214" s="24"/>
      <c r="N214" s="25"/>
      <c r="O214" s="24"/>
      <c r="P214" s="25"/>
    </row>
    <row r="215" spans="1:16" ht="12.95" hidden="1" customHeight="1">
      <c r="A215" s="3" t="str">
        <f t="shared" si="11"/>
        <v/>
      </c>
      <c r="B215" s="5">
        <f t="shared" si="9"/>
        <v>0.50694444444444398</v>
      </c>
      <c r="C215" s="5">
        <f t="shared" si="10"/>
        <v>0.51041666666666619</v>
      </c>
      <c r="D215" s="20"/>
      <c r="E215" s="21"/>
      <c r="F215" s="20"/>
      <c r="G215" s="22"/>
      <c r="H215" s="23"/>
      <c r="I215" s="24"/>
      <c r="J215" s="25"/>
      <c r="K215" s="24"/>
      <c r="L215" s="25"/>
      <c r="M215" s="24"/>
      <c r="N215" s="25"/>
      <c r="O215" s="24"/>
      <c r="P215" s="25"/>
    </row>
    <row r="216" spans="1:16" ht="12.95" hidden="1" customHeight="1">
      <c r="A216" s="3" t="str">
        <f t="shared" si="11"/>
        <v/>
      </c>
      <c r="B216" s="5">
        <f t="shared" si="9"/>
        <v>0.51041666666666619</v>
      </c>
      <c r="C216" s="5">
        <f t="shared" si="10"/>
        <v>0.5138888888888884</v>
      </c>
      <c r="D216" s="20"/>
      <c r="E216" s="21"/>
      <c r="F216" s="20"/>
      <c r="G216" s="22"/>
      <c r="H216" s="23"/>
      <c r="I216" s="24"/>
      <c r="J216" s="25"/>
      <c r="K216" s="24"/>
      <c r="L216" s="25"/>
      <c r="M216" s="24"/>
      <c r="N216" s="25"/>
      <c r="O216" s="24"/>
      <c r="P216" s="25"/>
    </row>
    <row r="217" spans="1:16" ht="12.95" hidden="1" customHeight="1">
      <c r="A217" s="3" t="str">
        <f t="shared" si="11"/>
        <v/>
      </c>
      <c r="B217" s="5">
        <f t="shared" si="9"/>
        <v>0.5138888888888884</v>
      </c>
      <c r="C217" s="5">
        <f t="shared" si="10"/>
        <v>0.51736111111111061</v>
      </c>
      <c r="D217" s="20"/>
      <c r="E217" s="21"/>
      <c r="F217" s="20"/>
      <c r="G217" s="22"/>
      <c r="H217" s="23"/>
      <c r="I217" s="24"/>
      <c r="J217" s="25"/>
      <c r="K217" s="24"/>
      <c r="L217" s="25"/>
      <c r="M217" s="24"/>
      <c r="N217" s="25"/>
      <c r="O217" s="24"/>
      <c r="P217" s="25"/>
    </row>
    <row r="218" spans="1:16" ht="12.95" hidden="1" customHeight="1">
      <c r="A218" s="3" t="str">
        <f t="shared" si="11"/>
        <v/>
      </c>
      <c r="B218" s="5">
        <f t="shared" si="9"/>
        <v>0.51736111111111061</v>
      </c>
      <c r="C218" s="5">
        <f t="shared" si="10"/>
        <v>0.52083333333333282</v>
      </c>
      <c r="D218" s="20"/>
      <c r="E218" s="21"/>
      <c r="F218" s="20"/>
      <c r="G218" s="22"/>
      <c r="H218" s="23"/>
      <c r="I218" s="24"/>
      <c r="J218" s="25"/>
      <c r="K218" s="24"/>
      <c r="L218" s="25"/>
      <c r="M218" s="24"/>
      <c r="N218" s="25"/>
      <c r="O218" s="24"/>
      <c r="P218" s="25"/>
    </row>
    <row r="219" spans="1:16" ht="12.95" hidden="1" customHeight="1">
      <c r="A219" s="3" t="str">
        <f t="shared" si="11"/>
        <v/>
      </c>
      <c r="B219" s="5">
        <f t="shared" si="9"/>
        <v>0.52083333333333282</v>
      </c>
      <c r="C219" s="5">
        <f t="shared" si="10"/>
        <v>0.52430555555555503</v>
      </c>
      <c r="D219" s="20"/>
      <c r="E219" s="21"/>
      <c r="F219" s="20"/>
      <c r="G219" s="22"/>
      <c r="H219" s="23"/>
      <c r="I219" s="24"/>
      <c r="J219" s="25"/>
      <c r="K219" s="24"/>
      <c r="L219" s="25"/>
      <c r="M219" s="24"/>
      <c r="N219" s="25"/>
      <c r="O219" s="24"/>
      <c r="P219" s="25"/>
    </row>
    <row r="220" spans="1:16" ht="12.95" hidden="1" customHeight="1">
      <c r="A220" s="3" t="str">
        <f t="shared" si="11"/>
        <v/>
      </c>
      <c r="B220" s="5">
        <f t="shared" si="9"/>
        <v>0.52430555555555503</v>
      </c>
      <c r="C220" s="5">
        <f t="shared" si="10"/>
        <v>0.52777777777777724</v>
      </c>
      <c r="D220" s="20"/>
      <c r="E220" s="21"/>
      <c r="F220" s="20"/>
      <c r="G220" s="22"/>
      <c r="H220" s="23"/>
      <c r="I220" s="24"/>
      <c r="J220" s="25"/>
      <c r="K220" s="24"/>
      <c r="L220" s="25"/>
      <c r="M220" s="24"/>
      <c r="N220" s="25"/>
      <c r="O220" s="24"/>
      <c r="P220" s="25"/>
    </row>
    <row r="221" spans="1:16" ht="12.95" hidden="1" customHeight="1">
      <c r="A221" s="3" t="str">
        <f t="shared" si="11"/>
        <v/>
      </c>
      <c r="B221" s="5">
        <f t="shared" si="9"/>
        <v>0.52777777777777724</v>
      </c>
      <c r="C221" s="5">
        <f t="shared" si="10"/>
        <v>0.53124999999999944</v>
      </c>
      <c r="D221" s="20"/>
      <c r="E221" s="21"/>
      <c r="F221" s="20"/>
      <c r="G221" s="22"/>
      <c r="H221" s="23"/>
      <c r="I221" s="24"/>
      <c r="J221" s="25"/>
      <c r="K221" s="24"/>
      <c r="L221" s="25"/>
      <c r="M221" s="24"/>
      <c r="N221" s="25"/>
      <c r="O221" s="24"/>
      <c r="P221" s="25"/>
    </row>
    <row r="222" spans="1:16" ht="12.95" customHeight="1">
      <c r="A222" s="3" t="str">
        <f>_xlfn.CONCAT(D222:N222)</f>
        <v>A. URBAN INFRASTRUCTURE &amp; ENVIRONMENTAL SYSTEMSB. AI FOR DESIGN EVALUATIONC. STRUCTURAL, FABRICATION &amp; MATERIAL INTELLIGENCE</v>
      </c>
      <c r="B222" s="5"/>
      <c r="C222" s="5"/>
      <c r="D222" s="119"/>
      <c r="E222" s="55"/>
      <c r="F222" s="54"/>
      <c r="G222" s="56"/>
      <c r="H222" s="57"/>
      <c r="I222" s="94"/>
      <c r="J222" s="95" t="s">
        <v>342</v>
      </c>
      <c r="K222" s="94"/>
      <c r="L222" s="95" t="s">
        <v>343</v>
      </c>
      <c r="M222" s="94"/>
      <c r="N222" s="95" t="s">
        <v>344</v>
      </c>
      <c r="O222" s="94"/>
      <c r="P222" s="95" t="s">
        <v>345</v>
      </c>
    </row>
    <row r="223" spans="1:16" ht="12.95" customHeight="1">
      <c r="A223" s="3" t="str">
        <f t="shared" si="11"/>
        <v>12:45 - 13:35Parallel Paper Presentations:12:45 - 12:55Presentation 1299COMPUTING URBAN TISSUE: LANDSLIDE MITIGATION STRATEGY OF URBAN INFRASTRUCTURE DESIGN
By Chuheng Tan, Shaopo Huang, Haipeng Zhong and Quan Zhou45QUANTIFABLE AND UNQUANTIFABLE MACHINE LEARNING MODEL OR ARCHITECTURAL PREFERENCE PREDICTION BASED ON MBTI
By Xinhui Xu et al.34ADAPTIVE DESIGN AND FABRICATION OF MODULAR TOPOLOGICAL INTERLOCKING ASSEMBLIES
By Michail Georgiou and Odysseas Georgiou</v>
      </c>
      <c r="B223" s="5">
        <f>C221</f>
        <v>0.53124999999999944</v>
      </c>
      <c r="C223" s="5">
        <f t="shared" si="10"/>
        <v>0.53472222222222165</v>
      </c>
      <c r="D223" s="119" t="s">
        <v>148</v>
      </c>
      <c r="E223" s="55" t="s">
        <v>325</v>
      </c>
      <c r="F223" s="54" t="s">
        <v>152</v>
      </c>
      <c r="G223" s="56"/>
      <c r="H223" s="57" t="s">
        <v>326</v>
      </c>
      <c r="I223" s="58">
        <v>299</v>
      </c>
      <c r="J223" s="59" t="s">
        <v>153</v>
      </c>
      <c r="K223" s="58">
        <v>45</v>
      </c>
      <c r="L223" s="59" t="s">
        <v>346</v>
      </c>
      <c r="M223" s="58">
        <v>34</v>
      </c>
      <c r="N223" s="59" t="s">
        <v>174</v>
      </c>
      <c r="O223" s="58">
        <v>206</v>
      </c>
      <c r="P223" s="59" t="s">
        <v>347</v>
      </c>
    </row>
    <row r="224" spans="1:16" ht="12.95" hidden="1" customHeight="1">
      <c r="A224" s="3" t="str">
        <f t="shared" si="11"/>
        <v/>
      </c>
      <c r="B224" s="5">
        <f t="shared" si="9"/>
        <v>0.53472222222222165</v>
      </c>
      <c r="C224" s="5">
        <f t="shared" si="10"/>
        <v>0.53819444444444386</v>
      </c>
      <c r="D224" s="54"/>
      <c r="E224" s="55"/>
      <c r="F224" s="54"/>
      <c r="G224" s="56"/>
      <c r="H224" s="57"/>
      <c r="I224" s="58"/>
      <c r="J224" s="59"/>
      <c r="K224" s="58"/>
      <c r="L224" s="59"/>
      <c r="M224" s="58"/>
      <c r="N224" s="59"/>
      <c r="O224" s="58"/>
      <c r="P224" s="59"/>
    </row>
    <row r="225" spans="1:16" ht="12.95" customHeight="1" thickBot="1">
      <c r="A225" s="3" t="str">
        <f t="shared" si="11"/>
        <v>12:55 - 13:05Presentation 2278SUSTAINABLE SUSTAINABLE SOCIAL BUILDING ASSISTANT (SSOBA): TRANSFORMING ENERGY USE VIA DIGITAL TWINS, ENVIRONMENTAL SENSING AND OCCUPANT BEHAVIOUR CHANGE
By Frederick Peter Ortner et al.150QUANTIFYING ARCHITECTURAL EXPERIENCE USING VLMS: DOES AI DREAM OF RENDERED SPACES?
By Gal Guz et al.155ADAPTIVE ORIGAMI: FABRICATION OF PNEUMATIC-ACTUATED ADAPTIVE FOLDING SYSTEM
By Karagozaiym Turganbek et al.</v>
      </c>
      <c r="B225" s="6">
        <f t="shared" si="9"/>
        <v>0.53819444444444386</v>
      </c>
      <c r="C225" s="6">
        <f t="shared" si="10"/>
        <v>0.54166666666666607</v>
      </c>
      <c r="D225" s="119"/>
      <c r="E225" s="55"/>
      <c r="F225" s="54" t="s">
        <v>154</v>
      </c>
      <c r="G225" s="56"/>
      <c r="H225" s="57" t="s">
        <v>327</v>
      </c>
      <c r="I225" s="58">
        <v>278</v>
      </c>
      <c r="J225" s="59" t="s">
        <v>348</v>
      </c>
      <c r="K225" s="58">
        <v>150</v>
      </c>
      <c r="L225" s="59" t="s">
        <v>349</v>
      </c>
      <c r="M225" s="58">
        <v>155</v>
      </c>
      <c r="N225" s="59" t="s">
        <v>350</v>
      </c>
      <c r="O225" s="58">
        <v>74</v>
      </c>
      <c r="P225" s="59" t="s">
        <v>185</v>
      </c>
    </row>
    <row r="226" spans="1:16" ht="12.95" hidden="1" customHeight="1">
      <c r="A226" s="3" t="str">
        <f t="shared" si="11"/>
        <v/>
      </c>
      <c r="B226" s="5">
        <f t="shared" si="9"/>
        <v>0.54166666666666607</v>
      </c>
      <c r="C226" s="5">
        <f t="shared" si="10"/>
        <v>0.54513888888888828</v>
      </c>
      <c r="D226" s="54"/>
      <c r="E226" s="55"/>
      <c r="F226" s="54"/>
      <c r="G226" s="56"/>
      <c r="H226" s="57"/>
      <c r="I226" s="58"/>
      <c r="J226" s="59"/>
      <c r="K226" s="58"/>
      <c r="L226" s="59"/>
      <c r="M226" s="58"/>
      <c r="N226" s="59"/>
      <c r="O226" s="58"/>
      <c r="P226" s="59"/>
    </row>
    <row r="227" spans="1:16" ht="12.95" customHeight="1">
      <c r="A227" s="3" t="str">
        <f t="shared" si="11"/>
        <v>13:05 - 13:15Presentation 329UNDERSTAND URBAN BUILDING ENERGY CONSUMPTION WITH EXPLAINABLE MACHINE LEARNING APPROACHES
By Hang Xu, Chengxuan Li, Timur Dogan and Patrick Kastner304ZERO-SHOT ARCHITECTURAL STYLE CLASSIFICATION WITH LARGE LANGUAGE MODELS
By Lei Li, Yixin Hao and Runjia Tian221DEVELOPING STRESS-LINE RIBBED TIMBER SLABS: LAMINATING TIMBER RIBS WITH STAY-IN-PLACE FORMWORK
By Yiting Sun, Hua Chai, Tianyi Gao and Philip F. Yuan</v>
      </c>
      <c r="B227" s="5">
        <f t="shared" si="9"/>
        <v>0.54513888888888828</v>
      </c>
      <c r="C227" s="5">
        <f t="shared" si="10"/>
        <v>0.54861111111111049</v>
      </c>
      <c r="D227" s="119"/>
      <c r="E227" s="55"/>
      <c r="F227" s="54" t="s">
        <v>156</v>
      </c>
      <c r="G227" s="56"/>
      <c r="H227" s="57" t="s">
        <v>329</v>
      </c>
      <c r="I227" s="58">
        <v>29</v>
      </c>
      <c r="J227" s="59" t="s">
        <v>157</v>
      </c>
      <c r="K227" s="58">
        <v>304</v>
      </c>
      <c r="L227" s="59" t="s">
        <v>168</v>
      </c>
      <c r="M227" s="58">
        <v>221</v>
      </c>
      <c r="N227" s="59" t="s">
        <v>177</v>
      </c>
      <c r="O227" s="58">
        <v>137</v>
      </c>
      <c r="P227" s="59" t="s">
        <v>186</v>
      </c>
    </row>
    <row r="228" spans="1:16" ht="12.95" hidden="1" customHeight="1">
      <c r="A228" s="3" t="str">
        <f t="shared" si="11"/>
        <v/>
      </c>
      <c r="B228" s="5">
        <f t="shared" si="9"/>
        <v>0.54861111111111049</v>
      </c>
      <c r="C228" s="5">
        <f t="shared" si="10"/>
        <v>0.5520833333333327</v>
      </c>
      <c r="D228" s="54"/>
      <c r="E228" s="55"/>
      <c r="F228" s="54"/>
      <c r="G228" s="56"/>
      <c r="H228" s="57"/>
      <c r="I228" s="58"/>
      <c r="J228" s="59"/>
      <c r="K228" s="58"/>
      <c r="L228" s="59"/>
      <c r="M228" s="58"/>
      <c r="N228" s="59"/>
      <c r="O228" s="58"/>
      <c r="P228" s="59"/>
    </row>
    <row r="229" spans="1:16" ht="12.95" customHeight="1">
      <c r="A229" s="3" t="str">
        <f t="shared" si="11"/>
        <v>13:15 - 13:25Presentation 4121ENHANCING URBAN VITALITY THROUGH INTERACTIVE XR INSTALLATIONS: FOSTERING ENGAGEMENT AND ENVIRONMENTAL AWARENESS
By Xiaoxin Lu, Hanzhe Bao and Tiantian Lo456EVALUATION METHOD OF AI-GENERATED ARCHITECTURAL FACADE IMAGES BASED ON DCNN
By Li Zhang et al.339A FABRICATION GRAMMAR FOR ROBOTIC SAND PACKING: FROM PRECISE ACTIONS TO EMERGENT SHAPES AND PATTERNS
By Kieron Cook and Benay Gursoy</v>
      </c>
      <c r="B229" s="5">
        <f t="shared" si="9"/>
        <v>0.5520833333333327</v>
      </c>
      <c r="C229" s="5">
        <f t="shared" si="10"/>
        <v>0.55555555555555491</v>
      </c>
      <c r="D229" s="119"/>
      <c r="E229" s="55"/>
      <c r="F229" s="54" t="s">
        <v>158</v>
      </c>
      <c r="G229" s="56"/>
      <c r="H229" s="57" t="s">
        <v>331</v>
      </c>
      <c r="I229" s="58">
        <v>121</v>
      </c>
      <c r="J229" s="59" t="s">
        <v>159</v>
      </c>
      <c r="K229" s="58">
        <v>456</v>
      </c>
      <c r="L229" s="59" t="s">
        <v>351</v>
      </c>
      <c r="M229" s="58">
        <v>339</v>
      </c>
      <c r="N229" s="59" t="s">
        <v>178</v>
      </c>
      <c r="O229" s="58">
        <v>180</v>
      </c>
      <c r="P229" s="59" t="s">
        <v>352</v>
      </c>
    </row>
    <row r="230" spans="1:16" ht="12.95" hidden="1" customHeight="1">
      <c r="A230" s="3" t="str">
        <f t="shared" si="11"/>
        <v/>
      </c>
      <c r="B230" s="5">
        <f t="shared" si="9"/>
        <v>0.55555555555555491</v>
      </c>
      <c r="C230" s="5">
        <f t="shared" si="10"/>
        <v>0.55902777777777712</v>
      </c>
      <c r="D230" s="54"/>
      <c r="E230" s="55"/>
      <c r="F230" s="54"/>
      <c r="G230" s="56"/>
      <c r="H230" s="57"/>
      <c r="I230" s="58"/>
      <c r="J230" s="59"/>
      <c r="K230" s="58"/>
      <c r="L230" s="59"/>
      <c r="M230" s="58"/>
      <c r="N230" s="59"/>
      <c r="O230" s="58"/>
      <c r="P230" s="59"/>
    </row>
    <row r="231" spans="1:16" ht="12.95" customHeight="1">
      <c r="A231" s="3" t="str">
        <f t="shared" si="11"/>
        <v>13:25 - 13:35Presentation 571PERFORMANCE-BASED URBAN ENVIRONMENTAL RESTORATION: A MULTI-LAYER CELLULAR AUTOMATA MODEL FOR ECOLOGICAL DESIGN SIMULATION IN HIGH-DENSITY CITIES
By Yiming Liu and Christiane M. Herr59INTELLIGENT SPATIAL PLANNING: A MULTIDIMENSIONAL STUDY ON SWISS RESIDENTIAL DESIGN USING LARGE LANGUAGE MODEL (GPT-4)
By Dongming Xu et al.408FROM TRADITION TO COMPUTATION: ADAPTIVE CERAMIC FAÇADES INSPIRED BY PERSIAN ICE CAVES (YAKHCHALS)
By Maryam Badiei, Abolhassan Pishahang and Milad Heiranipour</v>
      </c>
      <c r="B231" s="5">
        <f t="shared" si="9"/>
        <v>0.55902777777777712</v>
      </c>
      <c r="C231" s="5">
        <f t="shared" si="10"/>
        <v>0.56249999999999933</v>
      </c>
      <c r="D231" s="119"/>
      <c r="E231" s="55"/>
      <c r="F231" s="54" t="s">
        <v>160</v>
      </c>
      <c r="G231" s="56"/>
      <c r="H231" s="57" t="s">
        <v>332</v>
      </c>
      <c r="I231" s="58">
        <v>71</v>
      </c>
      <c r="J231" s="59" t="s">
        <v>161</v>
      </c>
      <c r="K231" s="58">
        <v>59</v>
      </c>
      <c r="L231" s="59" t="s">
        <v>353</v>
      </c>
      <c r="M231" s="58">
        <v>408</v>
      </c>
      <c r="N231" s="59" t="s">
        <v>179</v>
      </c>
      <c r="O231" s="58"/>
      <c r="P231" s="59"/>
    </row>
    <row r="232" spans="1:16" ht="12.95" hidden="1" customHeight="1">
      <c r="A232" s="3" t="str">
        <f t="shared" si="11"/>
        <v/>
      </c>
      <c r="B232" s="5">
        <f t="shared" si="9"/>
        <v>0.56249999999999933</v>
      </c>
      <c r="C232" s="5">
        <f t="shared" si="10"/>
        <v>0.56597222222222154</v>
      </c>
      <c r="D232" s="54"/>
      <c r="E232" s="55"/>
      <c r="F232" s="54"/>
      <c r="G232" s="56"/>
      <c r="H232" s="57"/>
      <c r="I232" s="58"/>
      <c r="J232" s="60"/>
      <c r="K232" s="58"/>
      <c r="L232" s="60"/>
      <c r="M232" s="58"/>
      <c r="N232" s="60"/>
      <c r="O232" s="58"/>
      <c r="P232" s="60"/>
    </row>
    <row r="233" spans="1:16" ht="12.95" customHeight="1">
      <c r="A233" s="3" t="str">
        <f t="shared" si="11"/>
        <v>13:35 - 13:55Break</v>
      </c>
      <c r="B233" s="5">
        <f t="shared" si="9"/>
        <v>0.56597222222222154</v>
      </c>
      <c r="C233" s="5">
        <f t="shared" si="10"/>
        <v>0.56944444444444375</v>
      </c>
      <c r="D233" s="114" t="s">
        <v>188</v>
      </c>
      <c r="E233" s="14" t="s">
        <v>24</v>
      </c>
      <c r="F233" s="13"/>
      <c r="G233" s="16"/>
      <c r="H233" s="17"/>
      <c r="I233" s="18"/>
      <c r="J233" s="19"/>
      <c r="K233" s="18"/>
      <c r="L233" s="19"/>
      <c r="M233" s="18"/>
      <c r="N233" s="19"/>
      <c r="O233" s="18"/>
      <c r="P233" s="19"/>
    </row>
    <row r="234" spans="1:16" ht="12.95" hidden="1" customHeight="1">
      <c r="A234" s="3" t="str">
        <f t="shared" si="11"/>
        <v/>
      </c>
      <c r="B234" s="5">
        <f t="shared" si="9"/>
        <v>0.56944444444444375</v>
      </c>
      <c r="C234" s="5">
        <f t="shared" si="10"/>
        <v>0.57291666666666596</v>
      </c>
      <c r="D234" s="13"/>
      <c r="E234" s="14"/>
      <c r="F234" s="13"/>
      <c r="G234" s="16"/>
      <c r="H234" s="17"/>
      <c r="I234" s="18"/>
      <c r="J234" s="19"/>
      <c r="K234" s="18"/>
      <c r="L234" s="19"/>
      <c r="M234" s="18"/>
      <c r="N234" s="19"/>
      <c r="O234" s="18"/>
      <c r="P234" s="19"/>
    </row>
    <row r="235" spans="1:16" ht="12.95" hidden="1" customHeight="1">
      <c r="A235" s="3" t="str">
        <f t="shared" si="11"/>
        <v/>
      </c>
      <c r="B235" s="5">
        <f t="shared" si="9"/>
        <v>0.57291666666666596</v>
      </c>
      <c r="C235" s="5">
        <f t="shared" si="10"/>
        <v>0.57638888888888817</v>
      </c>
      <c r="D235" s="13"/>
      <c r="E235" s="14"/>
      <c r="F235" s="13"/>
      <c r="G235" s="16"/>
      <c r="H235" s="17"/>
      <c r="I235" s="18"/>
      <c r="J235" s="19"/>
      <c r="K235" s="18"/>
      <c r="L235" s="19"/>
      <c r="M235" s="18"/>
      <c r="N235" s="19"/>
      <c r="O235" s="18"/>
      <c r="P235" s="19"/>
    </row>
    <row r="236" spans="1:16" ht="12.95" hidden="1" customHeight="1">
      <c r="A236" s="3" t="str">
        <f t="shared" si="11"/>
        <v/>
      </c>
      <c r="B236" s="5">
        <f t="shared" si="9"/>
        <v>0.57638888888888817</v>
      </c>
      <c r="C236" s="5">
        <f t="shared" si="10"/>
        <v>0.57986111111111038</v>
      </c>
      <c r="D236" s="13"/>
      <c r="E236" s="14"/>
      <c r="F236" s="13"/>
      <c r="G236" s="16"/>
      <c r="H236" s="17"/>
      <c r="I236" s="18"/>
      <c r="J236" s="19"/>
      <c r="K236" s="18"/>
      <c r="L236" s="19"/>
      <c r="M236" s="18"/>
      <c r="N236" s="19"/>
      <c r="O236" s="18"/>
      <c r="P236" s="19"/>
    </row>
    <row r="237" spans="1:16" ht="12.95" customHeight="1" thickBot="1">
      <c r="A237" s="3" t="str">
        <f t="shared" si="11"/>
        <v>13:55 - 15:20Speaker-driven Selected Paper Session 3:
MORPHOLOGY ACROSS SCALES13:55 - 14:00intro</v>
      </c>
      <c r="B237" s="6">
        <f t="shared" ref="B237:B297" si="12">C236</f>
        <v>0.57986111111111038</v>
      </c>
      <c r="C237" s="6">
        <f t="shared" ref="C237:C297" si="13">B237+TIME(0,5,0)</f>
        <v>0.58333333333333259</v>
      </c>
      <c r="D237" s="118" t="s">
        <v>192</v>
      </c>
      <c r="E237" s="45" t="s">
        <v>354</v>
      </c>
      <c r="F237" s="44" t="s">
        <v>194</v>
      </c>
      <c r="G237" s="46"/>
      <c r="H237" s="47" t="s">
        <v>37</v>
      </c>
      <c r="I237" s="48"/>
      <c r="J237" s="49"/>
      <c r="K237" s="48"/>
      <c r="L237" s="49"/>
      <c r="M237" s="48"/>
      <c r="N237" s="49"/>
      <c r="O237" s="48"/>
      <c r="P237" s="49"/>
    </row>
    <row r="238" spans="1:16" ht="12.95" customHeight="1">
      <c r="A238" s="3" t="str">
        <f t="shared" si="11"/>
        <v>14:00 - 14:15431IMPROVING ARCHITECTURAL FORM CLASSIFICATION THROUGH SALINGAROS’ METRICS AND TOPOLOGICAL DATA ANALYSIS
By Chen-An Lee and June-Hao Hou</v>
      </c>
      <c r="B238" s="5">
        <f t="shared" si="12"/>
        <v>0.58333333333333259</v>
      </c>
      <c r="C238" s="5">
        <f t="shared" si="13"/>
        <v>0.5868055555555548</v>
      </c>
      <c r="D238" s="118"/>
      <c r="E238" s="50"/>
      <c r="F238" s="51" t="s">
        <v>195</v>
      </c>
      <c r="G238" s="46">
        <v>431</v>
      </c>
      <c r="H238" s="52" t="s">
        <v>200</v>
      </c>
      <c r="I238" s="48"/>
      <c r="J238" s="53"/>
      <c r="K238" s="48"/>
      <c r="L238" s="53"/>
      <c r="M238" s="48"/>
      <c r="N238" s="53"/>
      <c r="O238" s="48"/>
      <c r="P238" s="53"/>
    </row>
    <row r="239" spans="1:16" ht="12.95" hidden="1" customHeight="1">
      <c r="A239" s="3" t="str">
        <f t="shared" si="11"/>
        <v/>
      </c>
      <c r="B239" s="5">
        <f t="shared" si="12"/>
        <v>0.5868055555555548</v>
      </c>
      <c r="C239" s="5">
        <f t="shared" si="13"/>
        <v>0.59027777777777701</v>
      </c>
      <c r="D239" s="44"/>
      <c r="E239" s="50"/>
      <c r="F239" s="44"/>
      <c r="G239" s="46"/>
      <c r="H239" s="47"/>
      <c r="I239" s="48"/>
      <c r="J239" s="49"/>
      <c r="K239" s="48"/>
      <c r="L239" s="49"/>
      <c r="M239" s="48"/>
      <c r="N239" s="49"/>
      <c r="O239" s="48"/>
      <c r="P239" s="49"/>
    </row>
    <row r="240" spans="1:16" ht="12.95" hidden="1" customHeight="1">
      <c r="A240" s="3" t="str">
        <f t="shared" si="11"/>
        <v/>
      </c>
      <c r="B240" s="5">
        <f t="shared" si="12"/>
        <v>0.59027777777777701</v>
      </c>
      <c r="C240" s="5">
        <f t="shared" si="13"/>
        <v>0.59374999999999922</v>
      </c>
      <c r="D240" s="44"/>
      <c r="E240" s="50"/>
      <c r="F240" s="44"/>
      <c r="G240" s="46"/>
      <c r="H240" s="47"/>
      <c r="I240" s="48"/>
      <c r="J240" s="49"/>
      <c r="K240" s="48"/>
      <c r="L240" s="49"/>
      <c r="M240" s="48"/>
      <c r="N240" s="49"/>
      <c r="O240" s="48"/>
      <c r="P240" s="49"/>
    </row>
    <row r="241" spans="1:16" ht="12.95" customHeight="1">
      <c r="A241" s="3" t="str">
        <f t="shared" si="11"/>
        <v>14:15 - 14:30210DISCOVERING PARETO-EFFICIENT URBAN NETWORKS THROUGH SHAPE GRAMMAR, MULTI-OBJECTIVE OPTIMISATION AND MACHINE LEARNING
By Yanran Shan and Kam-Ming Mark Tam</v>
      </c>
      <c r="B241" s="5">
        <f t="shared" si="12"/>
        <v>0.59374999999999922</v>
      </c>
      <c r="C241" s="5">
        <f t="shared" si="13"/>
        <v>0.59722222222222143</v>
      </c>
      <c r="D241" s="118"/>
      <c r="E241" s="50"/>
      <c r="F241" s="51" t="s">
        <v>197</v>
      </c>
      <c r="G241" s="46">
        <v>210</v>
      </c>
      <c r="H241" s="47" t="s">
        <v>196</v>
      </c>
      <c r="I241" s="48"/>
      <c r="J241" s="53"/>
      <c r="K241" s="48"/>
      <c r="L241" s="53"/>
      <c r="M241" s="48"/>
      <c r="N241" s="53"/>
      <c r="O241" s="48"/>
      <c r="P241" s="53"/>
    </row>
    <row r="242" spans="1:16" ht="12.95" hidden="1" customHeight="1">
      <c r="A242" s="3" t="str">
        <f t="shared" si="11"/>
        <v/>
      </c>
      <c r="B242" s="5">
        <f t="shared" si="12"/>
        <v>0.59722222222222143</v>
      </c>
      <c r="C242" s="5">
        <f t="shared" si="13"/>
        <v>0.60069444444444364</v>
      </c>
      <c r="D242" s="44"/>
      <c r="E242" s="50"/>
      <c r="F242" s="44"/>
      <c r="G242" s="46"/>
      <c r="H242" s="47"/>
      <c r="I242" s="48"/>
      <c r="J242" s="49"/>
      <c r="K242" s="48"/>
      <c r="L242" s="49"/>
      <c r="M242" s="48"/>
      <c r="N242" s="49"/>
      <c r="O242" s="48"/>
      <c r="P242" s="49"/>
    </row>
    <row r="243" spans="1:16" ht="12.95" hidden="1" customHeight="1">
      <c r="A243" s="3" t="str">
        <f t="shared" si="11"/>
        <v/>
      </c>
      <c r="B243" s="5">
        <f t="shared" si="12"/>
        <v>0.60069444444444364</v>
      </c>
      <c r="C243" s="5">
        <f t="shared" si="13"/>
        <v>0.60416666666666585</v>
      </c>
      <c r="D243" s="44"/>
      <c r="E243" s="50"/>
      <c r="F243" s="44"/>
      <c r="G243" s="46"/>
      <c r="H243" s="47"/>
      <c r="I243" s="48"/>
      <c r="J243" s="49"/>
      <c r="K243" s="48"/>
      <c r="L243" s="49"/>
      <c r="M243" s="48"/>
      <c r="N243" s="49"/>
      <c r="O243" s="48"/>
      <c r="P243" s="49"/>
    </row>
    <row r="244" spans="1:16" ht="12.95" customHeight="1">
      <c r="A244" s="3" t="str">
        <f t="shared" si="11"/>
        <v>14:30 - 14:45440ENCODING PERFORMANCE IN DIGITAL WEAVE DESIGN USING AI AND OPTIMISATION
By Xinru Li and Kam-Ming Mark Tam</v>
      </c>
      <c r="B244" s="5">
        <f t="shared" si="12"/>
        <v>0.60416666666666585</v>
      </c>
      <c r="C244" s="5">
        <f t="shared" si="13"/>
        <v>0.60763888888888806</v>
      </c>
      <c r="D244" s="118"/>
      <c r="E244" s="50"/>
      <c r="F244" s="51" t="s">
        <v>199</v>
      </c>
      <c r="G244" s="46">
        <v>440</v>
      </c>
      <c r="H244" s="47" t="s">
        <v>198</v>
      </c>
      <c r="I244" s="48"/>
      <c r="J244" s="53"/>
      <c r="K244" s="48"/>
      <c r="L244" s="53"/>
      <c r="M244" s="48"/>
      <c r="N244" s="53"/>
      <c r="O244" s="48"/>
      <c r="P244" s="53"/>
    </row>
    <row r="245" spans="1:16" ht="12.95" hidden="1" customHeight="1">
      <c r="A245" s="3" t="str">
        <f t="shared" si="11"/>
        <v/>
      </c>
      <c r="B245" s="5">
        <f t="shared" si="12"/>
        <v>0.60763888888888806</v>
      </c>
      <c r="C245" s="5">
        <f t="shared" si="13"/>
        <v>0.61111111111111027</v>
      </c>
      <c r="D245" s="44"/>
      <c r="E245" s="50"/>
      <c r="F245" s="44"/>
      <c r="G245" s="46"/>
      <c r="H245" s="47"/>
      <c r="I245" s="48"/>
      <c r="J245" s="49"/>
      <c r="K245" s="48"/>
      <c r="L245" s="49"/>
      <c r="M245" s="48"/>
      <c r="N245" s="49"/>
      <c r="O245" s="48"/>
      <c r="P245" s="49"/>
    </row>
    <row r="246" spans="1:16" ht="12.95" hidden="1" customHeight="1">
      <c r="A246" s="3" t="str">
        <f t="shared" si="11"/>
        <v/>
      </c>
      <c r="B246" s="5">
        <f t="shared" si="12"/>
        <v>0.61111111111111027</v>
      </c>
      <c r="C246" s="5">
        <f t="shared" si="13"/>
        <v>0.61458333333333248</v>
      </c>
      <c r="D246" s="44"/>
      <c r="E246" s="50"/>
      <c r="F246" s="44"/>
      <c r="G246" s="46"/>
      <c r="H246" s="47"/>
      <c r="I246" s="48"/>
      <c r="J246" s="49"/>
      <c r="K246" s="48"/>
      <c r="L246" s="49"/>
      <c r="M246" s="48"/>
      <c r="N246" s="49"/>
      <c r="O246" s="48"/>
      <c r="P246" s="49"/>
    </row>
    <row r="247" spans="1:16" ht="12.95" customHeight="1">
      <c r="A247" s="3" t="str">
        <f t="shared" si="11"/>
        <v>14:45 - 15:00314GENERATIVE DESIGN FOR COASTAL RESILIENCE: A COMPUTATIONAL APPROACH TO LIVING SHORELINES
By Michael Dieffenthaller, Hallie Fischman, Christine Angelini and Karla Saldana Ochoa</v>
      </c>
      <c r="B247" s="5">
        <f t="shared" si="12"/>
        <v>0.61458333333333248</v>
      </c>
      <c r="C247" s="5">
        <f t="shared" si="13"/>
        <v>0.61805555555555469</v>
      </c>
      <c r="D247" s="118"/>
      <c r="E247" s="50"/>
      <c r="F247" s="51" t="s">
        <v>201</v>
      </c>
      <c r="G247" s="46">
        <v>314</v>
      </c>
      <c r="H247" s="52" t="s">
        <v>202</v>
      </c>
      <c r="I247" s="48"/>
      <c r="J247" s="53"/>
      <c r="K247" s="48"/>
      <c r="L247" s="53"/>
      <c r="M247" s="48"/>
      <c r="N247" s="53"/>
      <c r="O247" s="48"/>
      <c r="P247" s="53"/>
    </row>
    <row r="248" spans="1:16" ht="12.95" hidden="1" customHeight="1">
      <c r="A248" s="3" t="str">
        <f t="shared" si="11"/>
        <v/>
      </c>
      <c r="B248" s="5">
        <f t="shared" si="12"/>
        <v>0.61805555555555469</v>
      </c>
      <c r="C248" s="5">
        <f t="shared" si="13"/>
        <v>0.6215277777777769</v>
      </c>
      <c r="D248" s="44"/>
      <c r="E248" s="50"/>
      <c r="F248" s="44"/>
      <c r="G248" s="46"/>
      <c r="H248" s="47"/>
      <c r="I248" s="48"/>
      <c r="J248" s="49"/>
      <c r="K248" s="48"/>
      <c r="L248" s="49"/>
      <c r="M248" s="48"/>
      <c r="N248" s="49"/>
      <c r="O248" s="48"/>
      <c r="P248" s="49"/>
    </row>
    <row r="249" spans="1:16" ht="12.95" hidden="1" customHeight="1" thickBot="1">
      <c r="A249" s="3" t="str">
        <f t="shared" si="11"/>
        <v/>
      </c>
      <c r="B249" s="6">
        <f t="shared" si="12"/>
        <v>0.6215277777777769</v>
      </c>
      <c r="C249" s="6">
        <f t="shared" si="13"/>
        <v>0.62499999999999911</v>
      </c>
      <c r="D249" s="44"/>
      <c r="E249" s="50"/>
      <c r="F249" s="44"/>
      <c r="G249" s="46"/>
      <c r="H249" s="47"/>
      <c r="I249" s="48"/>
      <c r="J249" s="49"/>
      <c r="K249" s="48"/>
      <c r="L249" s="49"/>
      <c r="M249" s="48"/>
      <c r="N249" s="49"/>
      <c r="O249" s="48"/>
      <c r="P249" s="49"/>
    </row>
    <row r="250" spans="1:16" ht="12.95" customHeight="1">
      <c r="A250" s="3" t="str">
        <f t="shared" si="11"/>
        <v>15:00 - 15:20Discussion</v>
      </c>
      <c r="B250" s="5">
        <f t="shared" si="12"/>
        <v>0.62499999999999911</v>
      </c>
      <c r="C250" s="5">
        <f t="shared" si="13"/>
        <v>0.62847222222222132</v>
      </c>
      <c r="D250" s="118"/>
      <c r="E250" s="50"/>
      <c r="F250" s="51" t="s">
        <v>203</v>
      </c>
      <c r="G250" s="46"/>
      <c r="H250" s="52" t="s">
        <v>45</v>
      </c>
      <c r="I250" s="48"/>
      <c r="J250" s="53"/>
      <c r="K250" s="48"/>
      <c r="L250" s="53"/>
      <c r="M250" s="48"/>
      <c r="N250" s="53"/>
      <c r="O250" s="48"/>
      <c r="P250" s="53"/>
    </row>
    <row r="251" spans="1:16" ht="12.95" hidden="1" customHeight="1">
      <c r="A251" s="3" t="str">
        <f t="shared" si="11"/>
        <v/>
      </c>
      <c r="B251" s="5">
        <f t="shared" si="12"/>
        <v>0.62847222222222132</v>
      </c>
      <c r="C251" s="5">
        <f t="shared" si="13"/>
        <v>0.63194444444444353</v>
      </c>
      <c r="D251" s="44"/>
      <c r="E251" s="50"/>
      <c r="F251" s="44"/>
      <c r="G251" s="46"/>
      <c r="H251" s="47"/>
      <c r="I251" s="48"/>
      <c r="J251" s="49"/>
      <c r="K251" s="48"/>
      <c r="L251" s="49"/>
      <c r="M251" s="48"/>
      <c r="N251" s="49"/>
      <c r="O251" s="48"/>
      <c r="P251" s="49"/>
    </row>
    <row r="252" spans="1:16" ht="12.95" hidden="1" customHeight="1">
      <c r="A252" s="3" t="str">
        <f t="shared" si="11"/>
        <v/>
      </c>
      <c r="B252" s="5">
        <f t="shared" si="12"/>
        <v>0.63194444444444353</v>
      </c>
      <c r="C252" s="5">
        <f t="shared" si="13"/>
        <v>0.63541666666666574</v>
      </c>
      <c r="D252" s="44"/>
      <c r="E252" s="50"/>
      <c r="F252" s="44"/>
      <c r="G252" s="46"/>
      <c r="H252" s="47"/>
      <c r="I252" s="48"/>
      <c r="J252" s="49"/>
      <c r="K252" s="48"/>
      <c r="L252" s="49"/>
      <c r="M252" s="48"/>
      <c r="N252" s="49"/>
      <c r="O252" s="48"/>
      <c r="P252" s="49"/>
    </row>
    <row r="253" spans="1:16" ht="12.95" hidden="1" customHeight="1">
      <c r="A253" s="3" t="str">
        <f t="shared" si="11"/>
        <v/>
      </c>
      <c r="B253" s="5">
        <f t="shared" si="12"/>
        <v>0.63541666666666574</v>
      </c>
      <c r="C253" s="5">
        <f t="shared" si="13"/>
        <v>0.63888888888888795</v>
      </c>
      <c r="D253" s="44"/>
      <c r="E253" s="50"/>
      <c r="F253" s="44"/>
      <c r="G253" s="46"/>
      <c r="H253" s="47"/>
      <c r="I253" s="48"/>
      <c r="J253" s="49"/>
      <c r="K253" s="48"/>
      <c r="L253" s="49"/>
      <c r="M253" s="48"/>
      <c r="N253" s="49"/>
      <c r="O253" s="48"/>
      <c r="P253" s="49"/>
    </row>
    <row r="254" spans="1:16" ht="12.95" customHeight="1">
      <c r="A254" s="3" t="str">
        <f t="shared" si="11"/>
        <v>15:20 - 15:40Break</v>
      </c>
      <c r="B254" s="5">
        <f t="shared" si="12"/>
        <v>0.63888888888888795</v>
      </c>
      <c r="C254" s="5">
        <f t="shared" si="13"/>
        <v>0.64236111111111016</v>
      </c>
      <c r="D254" s="114" t="s">
        <v>106</v>
      </c>
      <c r="E254" s="14" t="s">
        <v>24</v>
      </c>
      <c r="F254" s="13"/>
      <c r="G254" s="16"/>
      <c r="H254" s="17"/>
      <c r="I254" s="18"/>
      <c r="J254" s="19"/>
      <c r="K254" s="18"/>
      <c r="L254" s="19"/>
      <c r="M254" s="18"/>
      <c r="N254" s="19"/>
      <c r="O254" s="18"/>
      <c r="P254" s="19"/>
    </row>
    <row r="255" spans="1:16" ht="12.95" hidden="1" customHeight="1">
      <c r="A255" s="3" t="str">
        <f t="shared" si="11"/>
        <v/>
      </c>
      <c r="B255" s="5">
        <f t="shared" si="12"/>
        <v>0.64236111111111016</v>
      </c>
      <c r="C255" s="5">
        <f t="shared" si="13"/>
        <v>0.64583333333333237</v>
      </c>
      <c r="D255" s="13"/>
      <c r="E255" s="14"/>
      <c r="F255" s="13"/>
      <c r="G255" s="16"/>
      <c r="H255" s="17"/>
      <c r="I255" s="18"/>
      <c r="J255" s="19"/>
      <c r="K255" s="18"/>
      <c r="L255" s="19"/>
      <c r="M255" s="18"/>
      <c r="N255" s="19"/>
      <c r="O255" s="18"/>
      <c r="P255" s="19"/>
    </row>
    <row r="256" spans="1:16" ht="12.95" hidden="1" customHeight="1">
      <c r="A256" s="3" t="str">
        <f t="shared" si="11"/>
        <v/>
      </c>
      <c r="B256" s="5">
        <f t="shared" si="12"/>
        <v>0.64583333333333237</v>
      </c>
      <c r="C256" s="5">
        <f t="shared" si="13"/>
        <v>0.64930555555555458</v>
      </c>
      <c r="D256" s="13"/>
      <c r="E256" s="14"/>
      <c r="F256" s="13"/>
      <c r="G256" s="16"/>
      <c r="H256" s="17"/>
      <c r="I256" s="18"/>
      <c r="J256" s="19"/>
      <c r="K256" s="18"/>
      <c r="L256" s="19"/>
      <c r="M256" s="18"/>
      <c r="N256" s="19"/>
      <c r="O256" s="18"/>
      <c r="P256" s="19"/>
    </row>
    <row r="257" spans="1:16" ht="12.95" hidden="1" customHeight="1">
      <c r="A257" s="3" t="str">
        <f t="shared" si="11"/>
        <v/>
      </c>
      <c r="B257" s="5">
        <f t="shared" si="12"/>
        <v>0.64930555555555458</v>
      </c>
      <c r="C257" s="5">
        <f t="shared" si="13"/>
        <v>0.65277777777777679</v>
      </c>
      <c r="D257" s="13"/>
      <c r="E257" s="14"/>
      <c r="F257" s="13"/>
      <c r="G257" s="16"/>
      <c r="H257" s="17"/>
      <c r="I257" s="18"/>
      <c r="J257" s="19"/>
      <c r="K257" s="18"/>
      <c r="L257" s="19"/>
      <c r="M257" s="18"/>
      <c r="N257" s="19"/>
      <c r="O257" s="18"/>
      <c r="P257" s="19"/>
    </row>
    <row r="258" spans="1:16" ht="12.95" customHeight="1">
      <c r="A258" s="3" t="str">
        <f t="shared" si="11"/>
        <v>15:40 - 16:25Selected Paper Session 3:
URBAN PERCEPTIONS &amp; PATTERNS II15:40 - 15:5550URBAN VISUAL HETEROGENEITY: AN INTELLIGENT APPROACH TO EXAMINING TRAVEL PREFERENCES IN NANJING
By Zhixian Li</v>
      </c>
      <c r="B258" s="5">
        <f t="shared" si="12"/>
        <v>0.65277777777777679</v>
      </c>
      <c r="C258" s="5">
        <f t="shared" si="13"/>
        <v>0.656249999999999</v>
      </c>
      <c r="D258" s="120" t="s">
        <v>110</v>
      </c>
      <c r="E258" s="62" t="s">
        <v>355</v>
      </c>
      <c r="F258" s="63" t="s">
        <v>112</v>
      </c>
      <c r="G258" s="64">
        <v>50</v>
      </c>
      <c r="H258" s="65" t="s">
        <v>208</v>
      </c>
      <c r="I258" s="66"/>
      <c r="J258" s="67"/>
      <c r="K258" s="66"/>
      <c r="L258" s="67"/>
      <c r="M258" s="66"/>
      <c r="N258" s="67"/>
      <c r="O258" s="66"/>
      <c r="P258" s="67"/>
    </row>
    <row r="259" spans="1:16" ht="12.95" hidden="1" customHeight="1">
      <c r="A259" s="3" t="str">
        <f t="shared" si="11"/>
        <v/>
      </c>
      <c r="B259" s="5">
        <f t="shared" si="12"/>
        <v>0.656249999999999</v>
      </c>
      <c r="C259" s="5">
        <f t="shared" si="13"/>
        <v>0.65972222222222121</v>
      </c>
      <c r="D259" s="61"/>
      <c r="E259" s="68"/>
      <c r="F259" s="61"/>
      <c r="G259" s="64"/>
      <c r="H259" s="69"/>
      <c r="I259" s="66"/>
      <c r="J259" s="67"/>
      <c r="K259" s="66"/>
      <c r="L259" s="67"/>
      <c r="M259" s="66"/>
      <c r="N259" s="67"/>
      <c r="O259" s="66"/>
      <c r="P259" s="67"/>
    </row>
    <row r="260" spans="1:16" ht="12.95" hidden="1" customHeight="1">
      <c r="A260" s="3" t="str">
        <f t="shared" si="11"/>
        <v/>
      </c>
      <c r="B260" s="5">
        <f t="shared" si="12"/>
        <v>0.65972222222222121</v>
      </c>
      <c r="C260" s="5">
        <f t="shared" si="13"/>
        <v>0.66319444444444342</v>
      </c>
      <c r="D260" s="61"/>
      <c r="E260" s="68"/>
      <c r="F260" s="61"/>
      <c r="G260" s="64"/>
      <c r="H260" s="69"/>
      <c r="I260" s="66"/>
      <c r="J260" s="67"/>
      <c r="K260" s="66"/>
      <c r="L260" s="67"/>
      <c r="M260" s="66"/>
      <c r="N260" s="67"/>
      <c r="O260" s="66"/>
      <c r="P260" s="67"/>
    </row>
    <row r="261" spans="1:16" ht="12.95" customHeight="1" thickBot="1">
      <c r="A261" s="3" t="str">
        <f t="shared" ref="A261:A324" si="14">_xlfn.CONCAT(D261:N261)</f>
        <v>15:55 - 16:10198REVEALING THE RELATIONSHIP BETWEEN SITE PLANNING STRATEGIES AND SENTIMENT THROUGH DEEP LEARNING: ENHANCING DATA-DRIVEN ARCHITECTURAL DESIGN STRATEGIES
By Qian Cao, Weijing Wang and Rudi Stouffs</v>
      </c>
      <c r="B261" s="6">
        <f t="shared" si="12"/>
        <v>0.66319444444444342</v>
      </c>
      <c r="C261" s="6">
        <f t="shared" si="13"/>
        <v>0.66666666666666563</v>
      </c>
      <c r="D261" s="120"/>
      <c r="E261" s="68"/>
      <c r="F261" s="63" t="s">
        <v>114</v>
      </c>
      <c r="G261" s="64">
        <v>198</v>
      </c>
      <c r="H261" s="69" t="s">
        <v>209</v>
      </c>
      <c r="I261" s="66"/>
      <c r="J261" s="67"/>
      <c r="K261" s="66"/>
      <c r="L261" s="67"/>
      <c r="M261" s="66"/>
      <c r="N261" s="67"/>
      <c r="O261" s="66"/>
      <c r="P261" s="67"/>
    </row>
    <row r="262" spans="1:16" ht="12.95" hidden="1" customHeight="1">
      <c r="A262" s="3" t="str">
        <f t="shared" si="14"/>
        <v/>
      </c>
      <c r="B262" s="5">
        <f t="shared" si="12"/>
        <v>0.66666666666666563</v>
      </c>
      <c r="C262" s="5">
        <f t="shared" si="13"/>
        <v>0.67013888888888784</v>
      </c>
      <c r="D262" s="61"/>
      <c r="E262" s="68"/>
      <c r="F262" s="61"/>
      <c r="G262" s="64"/>
      <c r="H262" s="69"/>
      <c r="I262" s="66"/>
      <c r="J262" s="67"/>
      <c r="K262" s="66"/>
      <c r="L262" s="67"/>
      <c r="M262" s="66"/>
      <c r="N262" s="67"/>
      <c r="O262" s="66"/>
      <c r="P262" s="67"/>
    </row>
    <row r="263" spans="1:16" ht="12.95" hidden="1" customHeight="1">
      <c r="A263" s="3" t="str">
        <f t="shared" si="14"/>
        <v/>
      </c>
      <c r="B263" s="5">
        <f t="shared" si="12"/>
        <v>0.67013888888888784</v>
      </c>
      <c r="C263" s="5">
        <f t="shared" si="13"/>
        <v>0.67361111111111005</v>
      </c>
      <c r="D263" s="61"/>
      <c r="E263" s="68"/>
      <c r="F263" s="61"/>
      <c r="G263" s="64"/>
      <c r="H263" s="69"/>
      <c r="I263" s="66"/>
      <c r="J263" s="67"/>
      <c r="K263" s="66"/>
      <c r="L263" s="67"/>
      <c r="M263" s="66"/>
      <c r="N263" s="67"/>
      <c r="O263" s="66"/>
      <c r="P263" s="67"/>
    </row>
    <row r="264" spans="1:16" ht="12.95" customHeight="1">
      <c r="A264" s="3" t="str">
        <f t="shared" si="14"/>
        <v>16:10 - 16:25250HOW CHINESE IS CHINATOWN: MEASURING THE RELATIONSHIP BETWEEN GEOGRAPHIC AUTHENTICITY PERCEPTION AND STREETSCAPE FEATURES THROUGH MACHINE LEARNING
By Zixi Zhang, Wenjing Li and Waishan Qiu</v>
      </c>
      <c r="B264" s="5">
        <f t="shared" si="12"/>
        <v>0.67361111111111005</v>
      </c>
      <c r="C264" s="5">
        <f t="shared" si="13"/>
        <v>0.67708333333333226</v>
      </c>
      <c r="D264" s="120"/>
      <c r="E264" s="68"/>
      <c r="F264" s="63" t="s">
        <v>117</v>
      </c>
      <c r="G264" s="64">
        <v>250</v>
      </c>
      <c r="H264" s="69" t="s">
        <v>210</v>
      </c>
      <c r="I264" s="66"/>
      <c r="J264" s="67"/>
      <c r="K264" s="66"/>
      <c r="L264" s="67"/>
      <c r="M264" s="66"/>
      <c r="N264" s="67"/>
      <c r="O264" s="66"/>
      <c r="P264" s="67"/>
    </row>
    <row r="265" spans="1:16" ht="12.95" hidden="1" customHeight="1">
      <c r="A265" s="3" t="str">
        <f t="shared" si="14"/>
        <v/>
      </c>
      <c r="B265" s="5">
        <f t="shared" si="12"/>
        <v>0.67708333333333226</v>
      </c>
      <c r="C265" s="5">
        <f t="shared" si="13"/>
        <v>0.68055555555555447</v>
      </c>
      <c r="D265" s="61"/>
      <c r="E265" s="68"/>
      <c r="F265" s="61"/>
      <c r="G265" s="64"/>
      <c r="H265" s="69"/>
      <c r="I265" s="66"/>
      <c r="J265" s="67"/>
      <c r="K265" s="66"/>
      <c r="L265" s="67"/>
      <c r="M265" s="66"/>
      <c r="N265" s="67"/>
      <c r="O265" s="66"/>
      <c r="P265" s="67"/>
    </row>
    <row r="266" spans="1:16" ht="12.95" hidden="1" customHeight="1">
      <c r="A266" s="3" t="str">
        <f t="shared" si="14"/>
        <v/>
      </c>
      <c r="B266" s="5">
        <f t="shared" si="12"/>
        <v>0.68055555555555447</v>
      </c>
      <c r="C266" s="5">
        <f t="shared" si="13"/>
        <v>0.68402777777777668</v>
      </c>
      <c r="D266" s="61"/>
      <c r="E266" s="68"/>
      <c r="F266" s="61"/>
      <c r="G266" s="64"/>
      <c r="H266" s="69"/>
      <c r="I266" s="66"/>
      <c r="J266" s="67"/>
      <c r="K266" s="66"/>
      <c r="L266" s="67"/>
      <c r="M266" s="66"/>
      <c r="N266" s="67"/>
      <c r="O266" s="66"/>
      <c r="P266" s="67"/>
    </row>
    <row r="267" spans="1:16" ht="12.95" customHeight="1">
      <c r="A267" s="3" t="str">
        <f t="shared" si="14"/>
        <v>16:25 - 16:45Break</v>
      </c>
      <c r="B267" s="5">
        <f t="shared" si="12"/>
        <v>0.68402777777777668</v>
      </c>
      <c r="C267" s="5">
        <f t="shared" si="13"/>
        <v>0.68749999999999889</v>
      </c>
      <c r="D267" s="114" t="s">
        <v>211</v>
      </c>
      <c r="E267" s="14" t="s">
        <v>24</v>
      </c>
      <c r="F267" s="13"/>
      <c r="G267" s="16"/>
      <c r="H267" s="17"/>
      <c r="I267" s="18"/>
      <c r="J267" s="19"/>
      <c r="K267" s="18"/>
      <c r="L267" s="19"/>
      <c r="M267" s="18"/>
      <c r="N267" s="19"/>
      <c r="O267" s="18"/>
      <c r="P267" s="19"/>
    </row>
    <row r="268" spans="1:16" ht="12.95" hidden="1" customHeight="1">
      <c r="A268" s="3" t="str">
        <f t="shared" si="14"/>
        <v/>
      </c>
      <c r="B268" s="5">
        <f t="shared" si="12"/>
        <v>0.68749999999999889</v>
      </c>
      <c r="C268" s="5">
        <f t="shared" si="13"/>
        <v>0.6909722222222211</v>
      </c>
      <c r="D268" s="13"/>
      <c r="E268" s="14"/>
      <c r="F268" s="13"/>
      <c r="G268" s="16"/>
      <c r="H268" s="17"/>
      <c r="I268" s="18"/>
      <c r="J268" s="19"/>
      <c r="K268" s="18"/>
      <c r="L268" s="19"/>
      <c r="M268" s="18"/>
      <c r="N268" s="19"/>
      <c r="O268" s="18"/>
      <c r="P268" s="19"/>
    </row>
    <row r="269" spans="1:16" ht="12.95" hidden="1" customHeight="1">
      <c r="A269" s="3" t="str">
        <f t="shared" si="14"/>
        <v/>
      </c>
      <c r="B269" s="5">
        <f t="shared" si="12"/>
        <v>0.6909722222222211</v>
      </c>
      <c r="C269" s="5">
        <f t="shared" si="13"/>
        <v>0.69444444444444331</v>
      </c>
      <c r="D269" s="13"/>
      <c r="E269" s="14"/>
      <c r="F269" s="13"/>
      <c r="G269" s="16"/>
      <c r="H269" s="17"/>
      <c r="I269" s="18"/>
      <c r="J269" s="19"/>
      <c r="K269" s="18"/>
      <c r="L269" s="19"/>
      <c r="M269" s="18"/>
      <c r="N269" s="19"/>
      <c r="O269" s="18"/>
      <c r="P269" s="19"/>
    </row>
    <row r="270" spans="1:16" ht="12.95" hidden="1" customHeight="1">
      <c r="A270" s="3" t="str">
        <f t="shared" si="14"/>
        <v/>
      </c>
      <c r="B270" s="5">
        <f t="shared" si="12"/>
        <v>0.69444444444444331</v>
      </c>
      <c r="C270" s="5">
        <f t="shared" si="13"/>
        <v>0.69791666666666552</v>
      </c>
      <c r="D270" s="13"/>
      <c r="E270" s="14"/>
      <c r="F270" s="13"/>
      <c r="G270" s="16"/>
      <c r="H270" s="17"/>
      <c r="I270" s="18"/>
      <c r="J270" s="19"/>
      <c r="K270" s="18"/>
      <c r="L270" s="19"/>
      <c r="M270" s="18"/>
      <c r="N270" s="19"/>
      <c r="O270" s="18"/>
      <c r="P270" s="19"/>
    </row>
    <row r="271" spans="1:16" ht="12.95" customHeight="1">
      <c r="A271" s="3" t="str">
        <f t="shared" si="14"/>
        <v>16:45 - 17:30Selected Paper Session 4:
AUGMENTING &amp; ADVANCING DESIGN16:45 - 17:0033TRANSFORMING ARCHITECTURAL EDUCATION: THE IMPACT OF VR AND AR ON UNDERSTANDING BUILDING ENERGY EFFICIENCY
By Kifah Alhazzaa and Wei Yan</v>
      </c>
      <c r="B271" s="5">
        <f t="shared" si="12"/>
        <v>0.69791666666666552</v>
      </c>
      <c r="C271" s="5">
        <f t="shared" si="13"/>
        <v>0.70138888888888773</v>
      </c>
      <c r="D271" s="120" t="s">
        <v>356</v>
      </c>
      <c r="E271" s="62" t="s">
        <v>357</v>
      </c>
      <c r="F271" s="63" t="s">
        <v>215</v>
      </c>
      <c r="G271" s="64">
        <v>33</v>
      </c>
      <c r="H271" s="65" t="s">
        <v>113</v>
      </c>
      <c r="I271" s="66"/>
      <c r="J271" s="67"/>
      <c r="K271" s="66"/>
      <c r="L271" s="67"/>
      <c r="M271" s="66"/>
      <c r="N271" s="67"/>
      <c r="O271" s="66"/>
      <c r="P271" s="67"/>
    </row>
    <row r="272" spans="1:16" ht="12.95" hidden="1" customHeight="1">
      <c r="A272" s="3" t="str">
        <f t="shared" si="14"/>
        <v/>
      </c>
      <c r="B272" s="5">
        <f t="shared" si="12"/>
        <v>0.70138888888888773</v>
      </c>
      <c r="C272" s="5">
        <f t="shared" si="13"/>
        <v>0.70486111111110994</v>
      </c>
      <c r="D272" s="61"/>
      <c r="E272" s="68"/>
      <c r="F272" s="61"/>
      <c r="G272" s="64"/>
      <c r="H272" s="69"/>
      <c r="I272" s="66"/>
      <c r="J272" s="67"/>
      <c r="K272" s="66"/>
      <c r="L272" s="67"/>
      <c r="M272" s="66"/>
      <c r="N272" s="67"/>
      <c r="O272" s="66"/>
      <c r="P272" s="67"/>
    </row>
    <row r="273" spans="1:16" ht="12.95" hidden="1" customHeight="1" thickBot="1">
      <c r="A273" s="3" t="str">
        <f t="shared" si="14"/>
        <v/>
      </c>
      <c r="B273" s="6">
        <f t="shared" si="12"/>
        <v>0.70486111111110994</v>
      </c>
      <c r="C273" s="6">
        <f t="shared" si="13"/>
        <v>0.70833333333333215</v>
      </c>
      <c r="D273" s="61"/>
      <c r="E273" s="68"/>
      <c r="F273" s="61"/>
      <c r="G273" s="64"/>
      <c r="H273" s="69"/>
      <c r="I273" s="66"/>
      <c r="J273" s="67"/>
      <c r="K273" s="66"/>
      <c r="L273" s="67"/>
      <c r="M273" s="66"/>
      <c r="N273" s="67"/>
      <c r="O273" s="66"/>
      <c r="P273" s="67"/>
    </row>
    <row r="274" spans="1:16" ht="12.95" customHeight="1">
      <c r="A274" s="3" t="str">
        <f t="shared" si="14"/>
        <v>17:00 - 17:15426EVALUATING AUGMENTED REALITY AS A TOOL FOR DEMOCRATIZING BUILT ENVIRONMENT DESIGN
By Tina Behrouz, Halil Erhan and Elif Sezen Yagmur Kilimci</v>
      </c>
      <c r="B274" s="5">
        <f t="shared" si="12"/>
        <v>0.70833333333333215</v>
      </c>
      <c r="C274" s="5">
        <f t="shared" si="13"/>
        <v>0.71180555555555436</v>
      </c>
      <c r="D274" s="120"/>
      <c r="E274" s="68"/>
      <c r="F274" s="63" t="s">
        <v>217</v>
      </c>
      <c r="G274" s="64">
        <v>426</v>
      </c>
      <c r="H274" s="69" t="s">
        <v>115</v>
      </c>
      <c r="I274" s="66"/>
      <c r="J274" s="67"/>
      <c r="K274" s="66"/>
      <c r="L274" s="67"/>
      <c r="M274" s="66"/>
      <c r="N274" s="67"/>
      <c r="O274" s="66"/>
      <c r="P274" s="67"/>
    </row>
    <row r="275" spans="1:16" ht="12.95" hidden="1" customHeight="1">
      <c r="A275" s="3" t="str">
        <f t="shared" si="14"/>
        <v/>
      </c>
      <c r="B275" s="5">
        <f t="shared" si="12"/>
        <v>0.71180555555555436</v>
      </c>
      <c r="C275" s="5">
        <f t="shared" si="13"/>
        <v>0.71527777777777657</v>
      </c>
      <c r="D275" s="61"/>
      <c r="E275" s="68"/>
      <c r="F275" s="61"/>
      <c r="G275" s="64"/>
      <c r="H275" s="69"/>
      <c r="I275" s="66"/>
      <c r="J275" s="67"/>
      <c r="K275" s="66"/>
      <c r="L275" s="67"/>
      <c r="M275" s="66"/>
      <c r="N275" s="67"/>
      <c r="O275" s="66"/>
      <c r="P275" s="67"/>
    </row>
    <row r="276" spans="1:16" ht="12.95" hidden="1" customHeight="1">
      <c r="A276" s="3" t="str">
        <f t="shared" si="14"/>
        <v/>
      </c>
      <c r="B276" s="5">
        <f t="shared" si="12"/>
        <v>0.71527777777777657</v>
      </c>
      <c r="C276" s="5">
        <f t="shared" si="13"/>
        <v>0.71874999999999878</v>
      </c>
      <c r="D276" s="61"/>
      <c r="E276" s="68"/>
      <c r="F276" s="61"/>
      <c r="G276" s="64"/>
      <c r="H276" s="69"/>
      <c r="I276" s="66"/>
      <c r="J276" s="67"/>
      <c r="K276" s="66"/>
      <c r="L276" s="67"/>
      <c r="M276" s="66"/>
      <c r="N276" s="67"/>
      <c r="O276" s="66"/>
      <c r="P276" s="67"/>
    </row>
    <row r="277" spans="1:16" ht="12.95" customHeight="1">
      <c r="A277" s="3" t="str">
        <f t="shared" si="14"/>
        <v>17:15 - 17:30196OPEN-SOURCE APPROACHES TO INTEGRATING ADVANCED ROBOTIC SYSTEMS IN SUSTAINABLE DESIGN
By Celso Urroz and Shermeen Yousif</v>
      </c>
      <c r="B277" s="5">
        <f t="shared" si="12"/>
        <v>0.71874999999999878</v>
      </c>
      <c r="C277" s="5">
        <f t="shared" si="13"/>
        <v>0.72222222222222099</v>
      </c>
      <c r="D277" s="120"/>
      <c r="E277" s="68"/>
      <c r="F277" s="63" t="s">
        <v>219</v>
      </c>
      <c r="G277" s="64">
        <v>196</v>
      </c>
      <c r="H277" s="69" t="s">
        <v>118</v>
      </c>
      <c r="I277" s="66"/>
      <c r="J277" s="67"/>
      <c r="K277" s="66"/>
      <c r="L277" s="67"/>
      <c r="M277" s="66"/>
      <c r="N277" s="67"/>
      <c r="O277" s="66"/>
      <c r="P277" s="67"/>
    </row>
    <row r="278" spans="1:16" ht="12.95" hidden="1" customHeight="1">
      <c r="A278" s="3" t="str">
        <f t="shared" si="14"/>
        <v/>
      </c>
      <c r="B278" s="5">
        <f t="shared" si="12"/>
        <v>0.72222222222222099</v>
      </c>
      <c r="C278" s="5">
        <f t="shared" si="13"/>
        <v>0.7256944444444432</v>
      </c>
      <c r="D278" s="61"/>
      <c r="E278" s="68"/>
      <c r="F278" s="61"/>
      <c r="G278" s="64"/>
      <c r="H278" s="69"/>
      <c r="I278" s="66"/>
      <c r="J278" s="67"/>
      <c r="K278" s="66"/>
      <c r="L278" s="67"/>
      <c r="M278" s="66"/>
      <c r="N278" s="67"/>
      <c r="O278" s="66"/>
      <c r="P278" s="67"/>
    </row>
    <row r="279" spans="1:16" ht="12.95" hidden="1" customHeight="1">
      <c r="A279" s="3" t="str">
        <f t="shared" si="14"/>
        <v/>
      </c>
      <c r="B279" s="5">
        <f t="shared" si="12"/>
        <v>0.7256944444444432</v>
      </c>
      <c r="C279" s="5">
        <f t="shared" si="13"/>
        <v>0.72916666666666541</v>
      </c>
      <c r="D279" s="61"/>
      <c r="E279" s="68"/>
      <c r="F279" s="61"/>
      <c r="G279" s="64"/>
      <c r="H279" s="69"/>
      <c r="I279" s="66"/>
      <c r="J279" s="67"/>
      <c r="K279" s="66"/>
      <c r="L279" s="67"/>
      <c r="M279" s="66"/>
      <c r="N279" s="67"/>
      <c r="O279" s="66"/>
      <c r="P279" s="67"/>
    </row>
    <row r="280" spans="1:16" ht="12.95" customHeight="1">
      <c r="A280" s="3" t="str">
        <f t="shared" si="14"/>
        <v>17:30 - 19:00Catalytic Interfaces - Work Session</v>
      </c>
      <c r="B280" s="5">
        <f t="shared" si="12"/>
        <v>0.72916666666666541</v>
      </c>
      <c r="C280" s="5">
        <f t="shared" si="13"/>
        <v>0.73263888888888762</v>
      </c>
      <c r="D280" s="117" t="s">
        <v>358</v>
      </c>
      <c r="E280" s="39" t="s">
        <v>125</v>
      </c>
      <c r="F280" s="38"/>
      <c r="G280" s="40"/>
      <c r="H280" s="41"/>
      <c r="I280" s="40"/>
      <c r="J280" s="41"/>
      <c r="K280" s="40"/>
      <c r="L280" s="41"/>
      <c r="M280" s="40"/>
      <c r="N280" s="41"/>
      <c r="O280" s="40"/>
      <c r="P280" s="41"/>
    </row>
    <row r="281" spans="1:16" ht="12.95" hidden="1" customHeight="1">
      <c r="A281" s="3" t="str">
        <f t="shared" si="14"/>
        <v/>
      </c>
      <c r="B281" s="5">
        <f t="shared" si="12"/>
        <v>0.73263888888888762</v>
      </c>
      <c r="C281" s="5">
        <f t="shared" si="13"/>
        <v>0.73611111111110983</v>
      </c>
      <c r="D281" s="38"/>
      <c r="E281" s="39"/>
      <c r="F281" s="38"/>
      <c r="G281" s="40"/>
      <c r="H281" s="41"/>
      <c r="I281" s="40"/>
      <c r="J281" s="41"/>
      <c r="K281" s="40"/>
      <c r="L281" s="41"/>
      <c r="M281" s="40"/>
      <c r="N281" s="41"/>
      <c r="O281" s="40"/>
      <c r="P281" s="41"/>
    </row>
    <row r="282" spans="1:16" ht="12.95" hidden="1" customHeight="1">
      <c r="A282" s="3" t="str">
        <f t="shared" si="14"/>
        <v/>
      </c>
      <c r="B282" s="5">
        <f t="shared" si="12"/>
        <v>0.73611111111110983</v>
      </c>
      <c r="C282" s="5">
        <f t="shared" si="13"/>
        <v>0.73958333333333204</v>
      </c>
      <c r="D282" s="38"/>
      <c r="E282" s="39"/>
      <c r="F282" s="38"/>
      <c r="G282" s="40"/>
      <c r="H282" s="41"/>
      <c r="I282" s="40"/>
      <c r="J282" s="41"/>
      <c r="K282" s="40"/>
      <c r="L282" s="41"/>
      <c r="M282" s="40"/>
      <c r="N282" s="41"/>
      <c r="O282" s="40"/>
      <c r="P282" s="41"/>
    </row>
    <row r="283" spans="1:16" ht="12.95" hidden="1" customHeight="1">
      <c r="A283" s="3" t="str">
        <f t="shared" si="14"/>
        <v/>
      </c>
      <c r="B283" s="5">
        <f t="shared" si="12"/>
        <v>0.73958333333333204</v>
      </c>
      <c r="C283" s="5">
        <f t="shared" si="13"/>
        <v>0.74305555555555425</v>
      </c>
      <c r="D283" s="38"/>
      <c r="E283" s="39"/>
      <c r="F283" s="38"/>
      <c r="G283" s="40"/>
      <c r="H283" s="41"/>
      <c r="I283" s="40"/>
      <c r="J283" s="41"/>
      <c r="K283" s="40"/>
      <c r="L283" s="41"/>
      <c r="M283" s="40"/>
      <c r="N283" s="41"/>
      <c r="O283" s="40"/>
      <c r="P283" s="41"/>
    </row>
    <row r="284" spans="1:16" ht="12.95" hidden="1" customHeight="1">
      <c r="A284" s="3" t="str">
        <f t="shared" si="14"/>
        <v/>
      </c>
      <c r="B284" s="5">
        <f t="shared" si="12"/>
        <v>0.74305555555555425</v>
      </c>
      <c r="C284" s="5">
        <f t="shared" si="13"/>
        <v>0.74652777777777646</v>
      </c>
      <c r="D284" s="38"/>
      <c r="E284" s="39"/>
      <c r="F284" s="38"/>
      <c r="G284" s="40"/>
      <c r="H284" s="41"/>
      <c r="I284" s="40"/>
      <c r="J284" s="41"/>
      <c r="K284" s="40"/>
      <c r="L284" s="41"/>
      <c r="M284" s="40"/>
      <c r="N284" s="41"/>
      <c r="O284" s="40"/>
      <c r="P284" s="41"/>
    </row>
    <row r="285" spans="1:16" ht="12.95" hidden="1" customHeight="1" thickBot="1">
      <c r="A285" s="3" t="str">
        <f t="shared" si="14"/>
        <v/>
      </c>
      <c r="B285" s="6">
        <f t="shared" si="12"/>
        <v>0.74652777777777646</v>
      </c>
      <c r="C285" s="6">
        <f t="shared" si="13"/>
        <v>0.74999999999999867</v>
      </c>
      <c r="D285" s="38"/>
      <c r="E285" s="39"/>
      <c r="F285" s="38"/>
      <c r="G285" s="40"/>
      <c r="H285" s="41"/>
      <c r="I285" s="40"/>
      <c r="J285" s="41"/>
      <c r="K285" s="40"/>
      <c r="L285" s="41"/>
      <c r="M285" s="40"/>
      <c r="N285" s="41"/>
      <c r="O285" s="40"/>
      <c r="P285" s="41"/>
    </row>
    <row r="286" spans="1:16" ht="12.95" hidden="1" customHeight="1">
      <c r="A286" s="3" t="str">
        <f t="shared" si="14"/>
        <v/>
      </c>
      <c r="B286" s="5">
        <f t="shared" si="12"/>
        <v>0.74999999999999867</v>
      </c>
      <c r="C286" s="5">
        <f t="shared" si="13"/>
        <v>0.75347222222222088</v>
      </c>
      <c r="D286" s="38"/>
      <c r="E286" s="39"/>
      <c r="F286" s="38"/>
      <c r="G286" s="40"/>
      <c r="H286" s="41"/>
      <c r="I286" s="40"/>
      <c r="J286" s="41"/>
      <c r="K286" s="40"/>
      <c r="L286" s="41"/>
      <c r="M286" s="40"/>
      <c r="N286" s="41"/>
      <c r="O286" s="40"/>
      <c r="P286" s="41"/>
    </row>
    <row r="287" spans="1:16" ht="12.95" hidden="1" customHeight="1">
      <c r="A287" s="3" t="str">
        <f t="shared" si="14"/>
        <v/>
      </c>
      <c r="B287" s="5">
        <f t="shared" si="12"/>
        <v>0.75347222222222088</v>
      </c>
      <c r="C287" s="5">
        <f t="shared" si="13"/>
        <v>0.75694444444444309</v>
      </c>
      <c r="D287" s="38"/>
      <c r="E287" s="39"/>
      <c r="F287" s="38"/>
      <c r="G287" s="40"/>
      <c r="H287" s="41"/>
      <c r="I287" s="40"/>
      <c r="J287" s="41"/>
      <c r="K287" s="40"/>
      <c r="L287" s="41"/>
      <c r="M287" s="40"/>
      <c r="N287" s="41"/>
      <c r="O287" s="40"/>
      <c r="P287" s="41"/>
    </row>
    <row r="288" spans="1:16" ht="12.95" hidden="1" customHeight="1">
      <c r="A288" s="3" t="str">
        <f t="shared" si="14"/>
        <v/>
      </c>
      <c r="B288" s="5">
        <f t="shared" si="12"/>
        <v>0.75694444444444309</v>
      </c>
      <c r="C288" s="5">
        <f t="shared" si="13"/>
        <v>0.7604166666666653</v>
      </c>
      <c r="D288" s="38"/>
      <c r="E288" s="39"/>
      <c r="F288" s="38"/>
      <c r="G288" s="40"/>
      <c r="H288" s="41"/>
      <c r="I288" s="40"/>
      <c r="J288" s="41"/>
      <c r="K288" s="40"/>
      <c r="L288" s="41"/>
      <c r="M288" s="40"/>
      <c r="N288" s="41"/>
      <c r="O288" s="40"/>
      <c r="P288" s="41"/>
    </row>
    <row r="289" spans="1:16" ht="12.95" hidden="1" customHeight="1">
      <c r="A289" s="3" t="str">
        <f t="shared" si="14"/>
        <v/>
      </c>
      <c r="B289" s="5">
        <f t="shared" si="12"/>
        <v>0.7604166666666653</v>
      </c>
      <c r="C289" s="5">
        <f t="shared" si="13"/>
        <v>0.76388888888888751</v>
      </c>
      <c r="D289" s="38"/>
      <c r="E289" s="39"/>
      <c r="F289" s="38"/>
      <c r="G289" s="40"/>
      <c r="H289" s="41"/>
      <c r="I289" s="40"/>
      <c r="J289" s="41"/>
      <c r="K289" s="40"/>
      <c r="L289" s="41"/>
      <c r="M289" s="40"/>
      <c r="N289" s="41"/>
      <c r="O289" s="40"/>
      <c r="P289" s="41"/>
    </row>
    <row r="290" spans="1:16" ht="12.95" hidden="1" customHeight="1">
      <c r="A290" s="3" t="str">
        <f t="shared" si="14"/>
        <v/>
      </c>
      <c r="B290" s="5">
        <f t="shared" si="12"/>
        <v>0.76388888888888751</v>
      </c>
      <c r="C290" s="5">
        <f t="shared" si="13"/>
        <v>0.76736111111110972</v>
      </c>
      <c r="D290" s="38"/>
      <c r="E290" s="39"/>
      <c r="F290" s="38"/>
      <c r="G290" s="40"/>
      <c r="H290" s="41"/>
      <c r="I290" s="40"/>
      <c r="J290" s="41"/>
      <c r="K290" s="40"/>
      <c r="L290" s="41"/>
      <c r="M290" s="40"/>
      <c r="N290" s="41"/>
      <c r="O290" s="40"/>
      <c r="P290" s="41"/>
    </row>
    <row r="291" spans="1:16" ht="12.95" hidden="1" customHeight="1">
      <c r="A291" s="3" t="str">
        <f t="shared" si="14"/>
        <v/>
      </c>
      <c r="B291" s="5">
        <f t="shared" si="12"/>
        <v>0.76736111111110972</v>
      </c>
      <c r="C291" s="5">
        <f t="shared" si="13"/>
        <v>0.77083333333333193</v>
      </c>
      <c r="D291" s="38"/>
      <c r="E291" s="39"/>
      <c r="F291" s="38"/>
      <c r="G291" s="40"/>
      <c r="H291" s="41"/>
      <c r="I291" s="40"/>
      <c r="J291" s="41"/>
      <c r="K291" s="40"/>
      <c r="L291" s="41"/>
      <c r="M291" s="40"/>
      <c r="N291" s="41"/>
      <c r="O291" s="40"/>
      <c r="P291" s="41"/>
    </row>
    <row r="292" spans="1:16" ht="12.95" hidden="1" customHeight="1">
      <c r="A292" s="3" t="str">
        <f t="shared" si="14"/>
        <v/>
      </c>
      <c r="B292" s="5">
        <f t="shared" si="12"/>
        <v>0.77083333333333193</v>
      </c>
      <c r="C292" s="5">
        <f t="shared" si="13"/>
        <v>0.77430555555555414</v>
      </c>
      <c r="D292" s="38"/>
      <c r="E292" s="39"/>
      <c r="F292" s="38"/>
      <c r="G292" s="40"/>
      <c r="H292" s="41"/>
      <c r="I292" s="40"/>
      <c r="J292" s="41"/>
      <c r="K292" s="40"/>
      <c r="L292" s="41"/>
      <c r="M292" s="40"/>
      <c r="N292" s="41"/>
      <c r="O292" s="40"/>
      <c r="P292" s="41"/>
    </row>
    <row r="293" spans="1:16" ht="12.95" hidden="1" customHeight="1">
      <c r="A293" s="3" t="str">
        <f t="shared" si="14"/>
        <v/>
      </c>
      <c r="B293" s="5">
        <f t="shared" si="12"/>
        <v>0.77430555555555414</v>
      </c>
      <c r="C293" s="5">
        <f t="shared" si="13"/>
        <v>0.77777777777777635</v>
      </c>
      <c r="D293" s="38"/>
      <c r="E293" s="39"/>
      <c r="F293" s="38"/>
      <c r="G293" s="40"/>
      <c r="H293" s="41"/>
      <c r="I293" s="40"/>
      <c r="J293" s="41"/>
      <c r="K293" s="40"/>
      <c r="L293" s="41"/>
      <c r="M293" s="40"/>
      <c r="N293" s="41"/>
      <c r="O293" s="40"/>
      <c r="P293" s="41"/>
    </row>
    <row r="294" spans="1:16" ht="12.95" hidden="1" customHeight="1">
      <c r="A294" s="3" t="str">
        <f t="shared" si="14"/>
        <v/>
      </c>
      <c r="B294" s="5">
        <f t="shared" si="12"/>
        <v>0.77777777777777635</v>
      </c>
      <c r="C294" s="5">
        <f t="shared" si="13"/>
        <v>0.78124999999999856</v>
      </c>
      <c r="D294" s="38"/>
      <c r="E294" s="39"/>
      <c r="F294" s="38"/>
      <c r="G294" s="40"/>
      <c r="H294" s="41"/>
      <c r="I294" s="40"/>
      <c r="J294" s="41"/>
      <c r="K294" s="40"/>
      <c r="L294" s="41"/>
      <c r="M294" s="40"/>
      <c r="N294" s="41"/>
      <c r="O294" s="40"/>
      <c r="P294" s="41"/>
    </row>
    <row r="295" spans="1:16" ht="12.95" hidden="1" customHeight="1">
      <c r="A295" s="3" t="str">
        <f t="shared" si="14"/>
        <v/>
      </c>
      <c r="B295" s="5">
        <f t="shared" si="12"/>
        <v>0.78124999999999856</v>
      </c>
      <c r="C295" s="5">
        <f t="shared" si="13"/>
        <v>0.78472222222222077</v>
      </c>
      <c r="D295" s="38"/>
      <c r="E295" s="39"/>
      <c r="F295" s="38"/>
      <c r="G295" s="40"/>
      <c r="H295" s="41"/>
      <c r="I295" s="40"/>
      <c r="J295" s="41"/>
      <c r="K295" s="40"/>
      <c r="L295" s="41"/>
      <c r="M295" s="40"/>
      <c r="N295" s="41"/>
      <c r="O295" s="40"/>
      <c r="P295" s="41"/>
    </row>
    <row r="296" spans="1:16" ht="12.95" hidden="1" customHeight="1">
      <c r="A296" s="3" t="str">
        <f t="shared" si="14"/>
        <v/>
      </c>
      <c r="B296" s="5">
        <f t="shared" si="12"/>
        <v>0.78472222222222077</v>
      </c>
      <c r="C296" s="5">
        <f t="shared" si="13"/>
        <v>0.78819444444444298</v>
      </c>
      <c r="D296" s="38"/>
      <c r="E296" s="39"/>
      <c r="F296" s="38"/>
      <c r="G296" s="40"/>
      <c r="H296" s="41"/>
      <c r="I296" s="40"/>
      <c r="J296" s="41"/>
      <c r="K296" s="40"/>
      <c r="L296" s="41"/>
      <c r="M296" s="40"/>
      <c r="N296" s="41"/>
      <c r="O296" s="40"/>
      <c r="P296" s="41"/>
    </row>
    <row r="297" spans="1:16" ht="12.95" hidden="1" customHeight="1" thickBot="1">
      <c r="A297" s="3" t="str">
        <f t="shared" si="14"/>
        <v/>
      </c>
      <c r="B297" s="6">
        <f t="shared" si="12"/>
        <v>0.78819444444444298</v>
      </c>
      <c r="C297" s="6">
        <f t="shared" si="13"/>
        <v>0.79166666666666519</v>
      </c>
      <c r="D297" s="38"/>
      <c r="E297" s="39"/>
      <c r="F297" s="38"/>
      <c r="G297" s="40"/>
      <c r="H297" s="41"/>
      <c r="I297" s="40"/>
      <c r="J297" s="41"/>
      <c r="K297" s="40"/>
      <c r="L297" s="41"/>
      <c r="M297" s="40"/>
      <c r="N297" s="41"/>
      <c r="O297" s="40"/>
      <c r="P297" s="41"/>
    </row>
    <row r="298" spans="1:16" ht="12.95" customHeight="1">
      <c r="A298" s="3" t="str">
        <f t="shared" si="14"/>
        <v xml:space="preserve">Friday </v>
      </c>
      <c r="D298" s="112" t="s">
        <v>359</v>
      </c>
      <c r="E298" s="8"/>
      <c r="F298" s="8"/>
      <c r="G298" s="8"/>
      <c r="H298" s="8"/>
      <c r="I298" s="8"/>
      <c r="J298" s="8"/>
      <c r="K298" s="9"/>
      <c r="L298" s="10"/>
      <c r="M298" s="9"/>
      <c r="N298" s="10"/>
      <c r="O298" s="9"/>
      <c r="P298" s="10"/>
    </row>
    <row r="299" spans="1:16" ht="12.95" customHeight="1">
      <c r="A299" s="3" t="str">
        <f t="shared" si="14"/>
        <v>45842</v>
      </c>
      <c r="D299" s="113">
        <f>D170+1</f>
        <v>45842</v>
      </c>
      <c r="E299" s="11"/>
      <c r="F299" s="11"/>
      <c r="G299" s="11"/>
      <c r="H299" s="11"/>
      <c r="I299" s="8"/>
      <c r="J299" s="8"/>
      <c r="K299" s="9"/>
      <c r="L299" s="10"/>
      <c r="M299" s="9"/>
      <c r="N299" s="10"/>
      <c r="O299" s="9"/>
      <c r="P299" s="10"/>
    </row>
    <row r="300" spans="1:16" ht="12.95" customHeight="1">
      <c r="A300" s="3" t="str">
        <f t="shared" si="14"/>
        <v>8:30 - 9:00Registration &amp; Opening</v>
      </c>
      <c r="B300" s="5">
        <v>0.35416666666666669</v>
      </c>
      <c r="C300" s="5">
        <f>B300+TIME(0,5,0)</f>
        <v>0.3576388888888889</v>
      </c>
      <c r="D300" s="114" t="s">
        <v>15</v>
      </c>
      <c r="E300" s="14" t="s">
        <v>14</v>
      </c>
      <c r="F300" s="13"/>
      <c r="G300" s="16"/>
      <c r="H300" s="70"/>
      <c r="I300" s="18"/>
      <c r="J300" s="19"/>
      <c r="K300" s="18"/>
      <c r="L300" s="19"/>
      <c r="M300" s="18"/>
      <c r="N300" s="19"/>
      <c r="O300" s="18"/>
      <c r="P300" s="19"/>
    </row>
    <row r="301" spans="1:16" ht="12.95" hidden="1" customHeight="1">
      <c r="A301" s="3" t="str">
        <f t="shared" si="14"/>
        <v/>
      </c>
      <c r="B301" s="5">
        <f t="shared" ref="B301:B365" si="15">C300</f>
        <v>0.3576388888888889</v>
      </c>
      <c r="C301" s="5">
        <f t="shared" ref="C301:C365" si="16">B301+TIME(0,5,0)</f>
        <v>0.3611111111111111</v>
      </c>
      <c r="D301" s="13"/>
      <c r="E301" s="14"/>
      <c r="F301" s="13"/>
      <c r="G301" s="16"/>
      <c r="H301" s="70"/>
      <c r="I301" s="18"/>
      <c r="J301" s="19"/>
      <c r="K301" s="18"/>
      <c r="L301" s="19"/>
      <c r="M301" s="18"/>
      <c r="N301" s="19"/>
      <c r="O301" s="18"/>
      <c r="P301" s="19"/>
    </row>
    <row r="302" spans="1:16" ht="12.95" hidden="1" customHeight="1">
      <c r="A302" s="3" t="str">
        <f t="shared" si="14"/>
        <v/>
      </c>
      <c r="B302" s="5">
        <f t="shared" si="15"/>
        <v>0.3611111111111111</v>
      </c>
      <c r="C302" s="5">
        <f t="shared" si="16"/>
        <v>0.36458333333333331</v>
      </c>
      <c r="D302" s="13"/>
      <c r="E302" s="14"/>
      <c r="F302" s="13"/>
      <c r="G302" s="16"/>
      <c r="H302" s="70"/>
      <c r="I302" s="18"/>
      <c r="J302" s="19"/>
      <c r="K302" s="18"/>
      <c r="L302" s="19"/>
      <c r="M302" s="18"/>
      <c r="N302" s="19"/>
      <c r="O302" s="18"/>
      <c r="P302" s="19"/>
    </row>
    <row r="303" spans="1:16" ht="12.95" hidden="1" customHeight="1">
      <c r="A303" s="3" t="str">
        <f t="shared" si="14"/>
        <v/>
      </c>
      <c r="B303" s="5">
        <f t="shared" si="15"/>
        <v>0.36458333333333331</v>
      </c>
      <c r="C303" s="5">
        <f t="shared" si="16"/>
        <v>0.36805555555555552</v>
      </c>
      <c r="D303" s="13"/>
      <c r="E303" s="14"/>
      <c r="F303" s="13"/>
      <c r="G303" s="16"/>
      <c r="H303" s="70"/>
      <c r="I303" s="18"/>
      <c r="J303" s="19"/>
      <c r="K303" s="18"/>
      <c r="L303" s="19"/>
      <c r="M303" s="18"/>
      <c r="N303" s="19"/>
      <c r="O303" s="18"/>
      <c r="P303" s="19"/>
    </row>
    <row r="304" spans="1:16" ht="12.95" hidden="1" customHeight="1">
      <c r="A304" s="3" t="str">
        <f t="shared" si="14"/>
        <v/>
      </c>
      <c r="B304" s="5">
        <f t="shared" si="15"/>
        <v>0.36805555555555552</v>
      </c>
      <c r="C304" s="5">
        <f t="shared" si="16"/>
        <v>0.37152777777777773</v>
      </c>
      <c r="D304" s="13"/>
      <c r="E304" s="14"/>
      <c r="F304" s="13"/>
      <c r="G304" s="16"/>
      <c r="H304" s="70"/>
      <c r="I304" s="18"/>
      <c r="J304" s="19"/>
      <c r="K304" s="18"/>
      <c r="L304" s="19"/>
      <c r="M304" s="18"/>
      <c r="N304" s="19"/>
      <c r="O304" s="18"/>
      <c r="P304" s="19"/>
    </row>
    <row r="305" spans="1:16" ht="12.95" hidden="1" customHeight="1" thickBot="1">
      <c r="A305" s="3" t="str">
        <f t="shared" si="14"/>
        <v/>
      </c>
      <c r="B305" s="6">
        <f t="shared" si="15"/>
        <v>0.37152777777777773</v>
      </c>
      <c r="C305" s="6">
        <f t="shared" si="16"/>
        <v>0.37499999999999994</v>
      </c>
      <c r="D305" s="13"/>
      <c r="E305" s="14"/>
      <c r="F305" s="13"/>
      <c r="G305" s="16"/>
      <c r="H305" s="70"/>
      <c r="I305" s="18"/>
      <c r="J305" s="19"/>
      <c r="K305" s="18"/>
      <c r="L305" s="19"/>
      <c r="M305" s="18"/>
      <c r="N305" s="19"/>
      <c r="O305" s="18"/>
      <c r="P305" s="19"/>
    </row>
    <row r="306" spans="1:16" ht="12.95" customHeight="1">
      <c r="A306" s="3" t="str">
        <f t="shared" si="14"/>
        <v>9:00 - 10:00Keynote 4: DANIELA MITTERBERGER</v>
      </c>
      <c r="B306" s="5">
        <f t="shared" si="15"/>
        <v>0.37499999999999994</v>
      </c>
      <c r="C306" s="5">
        <f t="shared" si="16"/>
        <v>0.37847222222222215</v>
      </c>
      <c r="D306" s="116" t="s">
        <v>128</v>
      </c>
      <c r="E306" s="33" t="s">
        <v>226</v>
      </c>
      <c r="F306" s="32"/>
      <c r="G306" s="34"/>
      <c r="H306" s="71"/>
      <c r="I306" s="36"/>
      <c r="J306" s="37"/>
      <c r="K306" s="36"/>
      <c r="L306" s="37"/>
      <c r="M306" s="36"/>
      <c r="N306" s="37"/>
      <c r="O306" s="36"/>
      <c r="P306" s="37"/>
    </row>
    <row r="307" spans="1:16" ht="12.95" hidden="1" customHeight="1">
      <c r="A307" s="3" t="str">
        <f t="shared" si="14"/>
        <v/>
      </c>
      <c r="B307" s="5">
        <f t="shared" si="15"/>
        <v>0.37847222222222215</v>
      </c>
      <c r="C307" s="5">
        <f t="shared" si="16"/>
        <v>0.38194444444444436</v>
      </c>
      <c r="D307" s="32"/>
      <c r="E307" s="33"/>
      <c r="F307" s="32"/>
      <c r="G307" s="34"/>
      <c r="H307" s="71"/>
      <c r="I307" s="36"/>
      <c r="J307" s="37"/>
      <c r="K307" s="36"/>
      <c r="L307" s="37"/>
      <c r="M307" s="36"/>
      <c r="N307" s="37"/>
      <c r="O307" s="36"/>
      <c r="P307" s="37"/>
    </row>
    <row r="308" spans="1:16" ht="12.95" hidden="1" customHeight="1">
      <c r="A308" s="3" t="str">
        <f t="shared" si="14"/>
        <v/>
      </c>
      <c r="B308" s="5">
        <f t="shared" si="15"/>
        <v>0.38194444444444436</v>
      </c>
      <c r="C308" s="5">
        <f t="shared" si="16"/>
        <v>0.38541666666666657</v>
      </c>
      <c r="D308" s="32"/>
      <c r="E308" s="33"/>
      <c r="F308" s="32"/>
      <c r="G308" s="34"/>
      <c r="H308" s="71"/>
      <c r="I308" s="36"/>
      <c r="J308" s="37"/>
      <c r="K308" s="36"/>
      <c r="L308" s="37"/>
      <c r="M308" s="36"/>
      <c r="N308" s="37"/>
      <c r="O308" s="36"/>
      <c r="P308" s="37"/>
    </row>
    <row r="309" spans="1:16" ht="12.95" hidden="1" customHeight="1">
      <c r="A309" s="3" t="str">
        <f t="shared" si="14"/>
        <v/>
      </c>
      <c r="B309" s="5">
        <f t="shared" si="15"/>
        <v>0.38541666666666657</v>
      </c>
      <c r="C309" s="5">
        <f t="shared" si="16"/>
        <v>0.38888888888888878</v>
      </c>
      <c r="D309" s="32"/>
      <c r="E309" s="33"/>
      <c r="F309" s="32"/>
      <c r="G309" s="34"/>
      <c r="H309" s="71"/>
      <c r="I309" s="36"/>
      <c r="J309" s="37"/>
      <c r="K309" s="36"/>
      <c r="L309" s="37"/>
      <c r="M309" s="36"/>
      <c r="N309" s="37"/>
      <c r="O309" s="36"/>
      <c r="P309" s="37"/>
    </row>
    <row r="310" spans="1:16" ht="12.95" hidden="1" customHeight="1">
      <c r="A310" s="3" t="str">
        <f t="shared" si="14"/>
        <v/>
      </c>
      <c r="B310" s="5">
        <f t="shared" si="15"/>
        <v>0.38888888888888878</v>
      </c>
      <c r="C310" s="5">
        <f t="shared" si="16"/>
        <v>0.39236111111111099</v>
      </c>
      <c r="D310" s="32"/>
      <c r="E310" s="33"/>
      <c r="F310" s="32"/>
      <c r="G310" s="34"/>
      <c r="H310" s="71"/>
      <c r="I310" s="36"/>
      <c r="J310" s="37"/>
      <c r="K310" s="36"/>
      <c r="L310" s="37"/>
      <c r="M310" s="36"/>
      <c r="N310" s="37"/>
      <c r="O310" s="36"/>
      <c r="P310" s="37"/>
    </row>
    <row r="311" spans="1:16" ht="12.95" hidden="1" customHeight="1">
      <c r="A311" s="3" t="str">
        <f t="shared" si="14"/>
        <v/>
      </c>
      <c r="B311" s="5">
        <f t="shared" si="15"/>
        <v>0.39236111111111099</v>
      </c>
      <c r="C311" s="5">
        <f t="shared" si="16"/>
        <v>0.3958333333333332</v>
      </c>
      <c r="D311" s="32"/>
      <c r="E311" s="33"/>
      <c r="F311" s="32"/>
      <c r="G311" s="34"/>
      <c r="H311" s="71"/>
      <c r="I311" s="36"/>
      <c r="J311" s="37"/>
      <c r="K311" s="36"/>
      <c r="L311" s="37"/>
      <c r="M311" s="36"/>
      <c r="N311" s="37"/>
      <c r="O311" s="36"/>
      <c r="P311" s="37"/>
    </row>
    <row r="312" spans="1:16" ht="12.95" hidden="1" customHeight="1">
      <c r="A312" s="3" t="str">
        <f t="shared" si="14"/>
        <v/>
      </c>
      <c r="B312" s="5">
        <f t="shared" si="15"/>
        <v>0.3958333333333332</v>
      </c>
      <c r="C312" s="5">
        <f t="shared" si="16"/>
        <v>0.39930555555555541</v>
      </c>
      <c r="D312" s="32"/>
      <c r="E312" s="33"/>
      <c r="F312" s="32"/>
      <c r="G312" s="34"/>
      <c r="H312" s="71"/>
      <c r="I312" s="36"/>
      <c r="J312" s="37"/>
      <c r="K312" s="36"/>
      <c r="L312" s="37"/>
      <c r="M312" s="36"/>
      <c r="N312" s="37"/>
      <c r="O312" s="36"/>
      <c r="P312" s="37"/>
    </row>
    <row r="313" spans="1:16" ht="12.95" hidden="1" customHeight="1">
      <c r="A313" s="3" t="str">
        <f t="shared" si="14"/>
        <v/>
      </c>
      <c r="B313" s="5">
        <f t="shared" si="15"/>
        <v>0.39930555555555541</v>
      </c>
      <c r="C313" s="5">
        <f t="shared" si="16"/>
        <v>0.40277777777777762</v>
      </c>
      <c r="D313" s="32"/>
      <c r="E313" s="33"/>
      <c r="F313" s="32"/>
      <c r="G313" s="34"/>
      <c r="H313" s="71"/>
      <c r="I313" s="36"/>
      <c r="J313" s="37"/>
      <c r="K313" s="36"/>
      <c r="L313" s="37"/>
      <c r="M313" s="36"/>
      <c r="N313" s="37"/>
      <c r="O313" s="36"/>
      <c r="P313" s="37"/>
    </row>
    <row r="314" spans="1:16" ht="12.95" hidden="1" customHeight="1">
      <c r="A314" s="3" t="str">
        <f t="shared" si="14"/>
        <v/>
      </c>
      <c r="B314" s="5">
        <f t="shared" si="15"/>
        <v>0.40277777777777762</v>
      </c>
      <c r="C314" s="5">
        <f t="shared" si="16"/>
        <v>0.40624999999999983</v>
      </c>
      <c r="D314" s="32"/>
      <c r="E314" s="33"/>
      <c r="F314" s="32"/>
      <c r="G314" s="34"/>
      <c r="H314" s="71"/>
      <c r="I314" s="36"/>
      <c r="J314" s="37"/>
      <c r="K314" s="36"/>
      <c r="L314" s="37"/>
      <c r="M314" s="36"/>
      <c r="N314" s="37"/>
      <c r="O314" s="36"/>
      <c r="P314" s="37"/>
    </row>
    <row r="315" spans="1:16" ht="12.95" hidden="1" customHeight="1">
      <c r="A315" s="3" t="str">
        <f t="shared" si="14"/>
        <v/>
      </c>
      <c r="B315" s="5">
        <f t="shared" si="15"/>
        <v>0.40624999999999983</v>
      </c>
      <c r="C315" s="5">
        <f t="shared" si="16"/>
        <v>0.40972222222222204</v>
      </c>
      <c r="D315" s="32"/>
      <c r="E315" s="33"/>
      <c r="F315" s="32"/>
      <c r="G315" s="34"/>
      <c r="H315" s="71"/>
      <c r="I315" s="36"/>
      <c r="J315" s="37"/>
      <c r="K315" s="36"/>
      <c r="L315" s="37"/>
      <c r="M315" s="36"/>
      <c r="N315" s="37"/>
      <c r="O315" s="36"/>
      <c r="P315" s="37"/>
    </row>
    <row r="316" spans="1:16" ht="12.95" hidden="1" customHeight="1">
      <c r="A316" s="3" t="str">
        <f t="shared" si="14"/>
        <v/>
      </c>
      <c r="B316" s="5">
        <f t="shared" si="15"/>
        <v>0.40972222222222204</v>
      </c>
      <c r="C316" s="5">
        <f t="shared" si="16"/>
        <v>0.41319444444444425</v>
      </c>
      <c r="D316" s="32"/>
      <c r="E316" s="33"/>
      <c r="F316" s="32"/>
      <c r="G316" s="34"/>
      <c r="H316" s="71"/>
      <c r="I316" s="36"/>
      <c r="J316" s="37"/>
      <c r="K316" s="36"/>
      <c r="L316" s="37"/>
      <c r="M316" s="36"/>
      <c r="N316" s="37"/>
      <c r="O316" s="36"/>
      <c r="P316" s="37"/>
    </row>
    <row r="317" spans="1:16" ht="12.95" hidden="1" customHeight="1" thickBot="1">
      <c r="A317" s="3" t="str">
        <f t="shared" si="14"/>
        <v/>
      </c>
      <c r="B317" s="6">
        <f t="shared" si="15"/>
        <v>0.41319444444444425</v>
      </c>
      <c r="C317" s="6">
        <f t="shared" si="16"/>
        <v>0.41666666666666646</v>
      </c>
      <c r="D317" s="32"/>
      <c r="E317" s="33"/>
      <c r="F317" s="32"/>
      <c r="G317" s="34"/>
      <c r="H317" s="71"/>
      <c r="I317" s="36"/>
      <c r="J317" s="37"/>
      <c r="K317" s="36"/>
      <c r="L317" s="37"/>
      <c r="M317" s="36"/>
      <c r="N317" s="37"/>
      <c r="O317" s="36"/>
      <c r="P317" s="37"/>
    </row>
    <row r="318" spans="1:16" ht="12.95" customHeight="1">
      <c r="A318" s="3" t="str">
        <f t="shared" si="14"/>
        <v>10:00 - 10:10Break</v>
      </c>
      <c r="B318" s="5">
        <f t="shared" si="15"/>
        <v>0.41666666666666646</v>
      </c>
      <c r="C318" s="5">
        <f t="shared" si="16"/>
        <v>0.42013888888888867</v>
      </c>
      <c r="D318" s="114" t="s">
        <v>129</v>
      </c>
      <c r="E318" s="14" t="s">
        <v>24</v>
      </c>
      <c r="F318" s="13"/>
      <c r="G318" s="16"/>
      <c r="H318" s="70"/>
      <c r="I318" s="18"/>
      <c r="J318" s="19"/>
      <c r="K318" s="18"/>
      <c r="L318" s="19"/>
      <c r="M318" s="18"/>
      <c r="N318" s="19"/>
      <c r="O318" s="18"/>
      <c r="P318" s="19"/>
    </row>
    <row r="319" spans="1:16" ht="12.95" hidden="1" customHeight="1">
      <c r="A319" s="3" t="str">
        <f t="shared" si="14"/>
        <v/>
      </c>
      <c r="B319" s="5">
        <f t="shared" si="15"/>
        <v>0.42013888888888867</v>
      </c>
      <c r="C319" s="5">
        <f t="shared" si="16"/>
        <v>0.42361111111111088</v>
      </c>
      <c r="D319" s="13"/>
      <c r="E319" s="14"/>
      <c r="F319" s="13"/>
      <c r="G319" s="16"/>
      <c r="H319" s="70"/>
      <c r="I319" s="18"/>
      <c r="J319" s="19"/>
      <c r="K319" s="18"/>
      <c r="L319" s="19"/>
      <c r="M319" s="18"/>
      <c r="N319" s="19"/>
      <c r="O319" s="18"/>
      <c r="P319" s="19"/>
    </row>
    <row r="320" spans="1:16" ht="12.95" customHeight="1">
      <c r="A320" s="3" t="str">
        <f t="shared" si="14"/>
        <v>10:10 - 10:30Catalytic Interfaces - Check In</v>
      </c>
      <c r="B320" s="5">
        <f t="shared" si="15"/>
        <v>0.42361111111111088</v>
      </c>
      <c r="C320" s="5">
        <f t="shared" si="16"/>
        <v>0.42708333333333309</v>
      </c>
      <c r="D320" s="117" t="s">
        <v>130</v>
      </c>
      <c r="E320" s="39" t="s">
        <v>28</v>
      </c>
      <c r="F320" s="38"/>
      <c r="G320" s="40"/>
      <c r="H320" s="72"/>
      <c r="I320" s="42"/>
      <c r="J320" s="43"/>
      <c r="K320" s="42"/>
      <c r="L320" s="43"/>
      <c r="M320" s="42"/>
      <c r="N320" s="43"/>
      <c r="O320" s="42"/>
      <c r="P320" s="43"/>
    </row>
    <row r="321" spans="1:16" ht="12.95" hidden="1" customHeight="1">
      <c r="A321" s="3" t="str">
        <f t="shared" si="14"/>
        <v/>
      </c>
      <c r="B321" s="5">
        <f t="shared" si="15"/>
        <v>0.42708333333333309</v>
      </c>
      <c r="C321" s="5">
        <f t="shared" si="16"/>
        <v>0.4305555555555553</v>
      </c>
      <c r="D321" s="38"/>
      <c r="E321" s="39"/>
      <c r="F321" s="38"/>
      <c r="G321" s="40"/>
      <c r="H321" s="72"/>
      <c r="I321" s="42"/>
      <c r="J321" s="43"/>
      <c r="K321" s="42"/>
      <c r="L321" s="43"/>
      <c r="M321" s="42"/>
      <c r="N321" s="43"/>
      <c r="O321" s="42"/>
      <c r="P321" s="43"/>
    </row>
    <row r="322" spans="1:16" ht="12.95" hidden="1" customHeight="1">
      <c r="A322" s="3" t="str">
        <f t="shared" si="14"/>
        <v/>
      </c>
      <c r="B322" s="5">
        <f t="shared" si="15"/>
        <v>0.4305555555555553</v>
      </c>
      <c r="C322" s="5">
        <f t="shared" si="16"/>
        <v>0.43402777777777751</v>
      </c>
      <c r="D322" s="38"/>
      <c r="E322" s="39"/>
      <c r="F322" s="38"/>
      <c r="G322" s="40"/>
      <c r="H322" s="72"/>
      <c r="I322" s="42"/>
      <c r="J322" s="43"/>
      <c r="K322" s="42"/>
      <c r="L322" s="43"/>
      <c r="M322" s="42"/>
      <c r="N322" s="43"/>
      <c r="O322" s="42"/>
      <c r="P322" s="43"/>
    </row>
    <row r="323" spans="1:16" ht="12.95" hidden="1" customHeight="1">
      <c r="A323" s="3" t="str">
        <f t="shared" si="14"/>
        <v/>
      </c>
      <c r="B323" s="5">
        <f t="shared" si="15"/>
        <v>0.43402777777777751</v>
      </c>
      <c r="C323" s="5">
        <f t="shared" si="16"/>
        <v>0.43749999999999972</v>
      </c>
      <c r="D323" s="38"/>
      <c r="E323" s="39"/>
      <c r="F323" s="38"/>
      <c r="G323" s="40"/>
      <c r="H323" s="72"/>
      <c r="I323" s="42"/>
      <c r="J323" s="43"/>
      <c r="K323" s="42"/>
      <c r="L323" s="43"/>
      <c r="M323" s="42"/>
      <c r="N323" s="43"/>
      <c r="O323" s="42"/>
      <c r="P323" s="43"/>
    </row>
    <row r="324" spans="1:16" ht="12.95" customHeight="1">
      <c r="A324" s="3" t="str">
        <f t="shared" si="14"/>
        <v>10:30 - 11:40Speaker-driven Selected Paper Session 4:
PROMPTING ARCHITECTURE10:30 - 10:35intro</v>
      </c>
      <c r="B324" s="5">
        <f t="shared" si="15"/>
        <v>0.43749999999999972</v>
      </c>
      <c r="C324" s="5">
        <f t="shared" si="16"/>
        <v>0.44097222222222193</v>
      </c>
      <c r="D324" s="118" t="s">
        <v>230</v>
      </c>
      <c r="E324" s="45" t="s">
        <v>360</v>
      </c>
      <c r="F324" s="44" t="s">
        <v>136</v>
      </c>
      <c r="G324" s="46"/>
      <c r="H324" s="73" t="s">
        <v>37</v>
      </c>
      <c r="I324" s="48"/>
      <c r="J324" s="49"/>
      <c r="K324" s="48"/>
      <c r="L324" s="49"/>
      <c r="M324" s="48"/>
      <c r="N324" s="49"/>
      <c r="O324" s="48"/>
      <c r="P324" s="49"/>
    </row>
    <row r="325" spans="1:16" ht="12.95" customHeight="1">
      <c r="A325" s="3" t="str">
        <f t="shared" ref="A325:A389" si="17">_xlfn.CONCAT(D325:N325)</f>
        <v>10:35 - 10:50444INTERACTIVE BIM MODELLING ASSISTANT WITH MULTI-AGENT LLM
By Chao Tang, Kam-Ming Mark Tam and Christiane Margerita Herr</v>
      </c>
      <c r="B325" s="5">
        <f t="shared" si="15"/>
        <v>0.44097222222222193</v>
      </c>
      <c r="C325" s="5">
        <f t="shared" si="16"/>
        <v>0.44444444444444414</v>
      </c>
      <c r="D325" s="118"/>
      <c r="E325" s="50"/>
      <c r="F325" s="51" t="s">
        <v>137</v>
      </c>
      <c r="G325" s="46">
        <v>444</v>
      </c>
      <c r="H325" s="52" t="s">
        <v>233</v>
      </c>
      <c r="I325" s="48"/>
      <c r="J325" s="53"/>
      <c r="K325" s="48"/>
      <c r="L325" s="53"/>
      <c r="M325" s="48"/>
      <c r="N325" s="53"/>
      <c r="O325" s="48"/>
      <c r="P325" s="53"/>
    </row>
    <row r="326" spans="1:16" ht="12.95" hidden="1" customHeight="1">
      <c r="A326" s="3" t="str">
        <f t="shared" si="17"/>
        <v/>
      </c>
      <c r="B326" s="5">
        <f t="shared" si="15"/>
        <v>0.44444444444444414</v>
      </c>
      <c r="C326" s="5">
        <f t="shared" si="16"/>
        <v>0.44791666666666635</v>
      </c>
      <c r="D326" s="44"/>
      <c r="E326" s="50"/>
      <c r="F326" s="44"/>
      <c r="G326" s="46"/>
      <c r="H326" s="73"/>
      <c r="I326" s="48"/>
      <c r="J326" s="49"/>
      <c r="K326" s="48"/>
      <c r="L326" s="49"/>
      <c r="M326" s="48"/>
      <c r="N326" s="49"/>
      <c r="O326" s="48"/>
      <c r="P326" s="49"/>
    </row>
    <row r="327" spans="1:16" ht="12.95" hidden="1" customHeight="1">
      <c r="A327" s="3" t="str">
        <f t="shared" si="17"/>
        <v/>
      </c>
      <c r="B327" s="5">
        <f t="shared" si="15"/>
        <v>0.44791666666666635</v>
      </c>
      <c r="C327" s="5">
        <f t="shared" si="16"/>
        <v>0.45138888888888856</v>
      </c>
      <c r="D327" s="44"/>
      <c r="E327" s="50"/>
      <c r="F327" s="44"/>
      <c r="G327" s="46"/>
      <c r="H327" s="73"/>
      <c r="I327" s="48"/>
      <c r="J327" s="49"/>
      <c r="K327" s="48"/>
      <c r="L327" s="49"/>
      <c r="M327" s="48"/>
      <c r="N327" s="49"/>
      <c r="O327" s="48"/>
      <c r="P327" s="49"/>
    </row>
    <row r="328" spans="1:16" ht="12.95" customHeight="1">
      <c r="A328" s="3" t="str">
        <f t="shared" si="17"/>
        <v>10:50 - 11:05403TEXT-TO-SIHEYUAN: LLM-BASED MULTI-AGENT PROCEDURAL GENERATION SYSTEM OF VERNACULAR ARCHITECTURE IN BEIJING
By Zixi Zhang, Wenshuo Zhang and Runjia Tian</v>
      </c>
      <c r="B328" s="5">
        <f t="shared" si="15"/>
        <v>0.45138888888888856</v>
      </c>
      <c r="C328" s="5">
        <f t="shared" si="16"/>
        <v>0.45486111111111077</v>
      </c>
      <c r="D328" s="118"/>
      <c r="E328" s="50"/>
      <c r="F328" s="51" t="s">
        <v>139</v>
      </c>
      <c r="G328" s="46">
        <v>403</v>
      </c>
      <c r="H328" s="73" t="s">
        <v>234</v>
      </c>
      <c r="I328" s="48"/>
      <c r="J328" s="53"/>
      <c r="K328" s="48"/>
      <c r="L328" s="53"/>
      <c r="M328" s="48"/>
      <c r="N328" s="53"/>
      <c r="O328" s="48"/>
      <c r="P328" s="53"/>
    </row>
    <row r="329" spans="1:16" ht="12.95" hidden="1" customHeight="1" thickBot="1">
      <c r="A329" s="3" t="str">
        <f t="shared" si="17"/>
        <v/>
      </c>
      <c r="B329" s="6">
        <f t="shared" si="15"/>
        <v>0.45486111111111077</v>
      </c>
      <c r="C329" s="6">
        <f t="shared" si="16"/>
        <v>0.45833333333333298</v>
      </c>
      <c r="D329" s="44"/>
      <c r="E329" s="50"/>
      <c r="F329" s="44"/>
      <c r="G329" s="46"/>
      <c r="H329" s="73"/>
      <c r="I329" s="48"/>
      <c r="J329" s="49"/>
      <c r="K329" s="48"/>
      <c r="L329" s="49"/>
      <c r="M329" s="48"/>
      <c r="N329" s="49"/>
      <c r="O329" s="48"/>
      <c r="P329" s="49"/>
    </row>
    <row r="330" spans="1:16" ht="12.95" hidden="1" customHeight="1">
      <c r="A330" s="3" t="str">
        <f t="shared" si="17"/>
        <v/>
      </c>
      <c r="B330" s="5">
        <f t="shared" si="15"/>
        <v>0.45833333333333298</v>
      </c>
      <c r="C330" s="5">
        <f t="shared" si="16"/>
        <v>0.46180555555555519</v>
      </c>
      <c r="D330" s="44"/>
      <c r="E330" s="50"/>
      <c r="F330" s="44"/>
      <c r="G330" s="46"/>
      <c r="H330" s="73"/>
      <c r="I330" s="48"/>
      <c r="J330" s="49"/>
      <c r="K330" s="48"/>
      <c r="L330" s="49"/>
      <c r="M330" s="48"/>
      <c r="N330" s="49"/>
      <c r="O330" s="48"/>
      <c r="P330" s="49"/>
    </row>
    <row r="331" spans="1:16" ht="12.95" customHeight="1">
      <c r="A331" s="3" t="str">
        <f t="shared" si="17"/>
        <v>11:05 - 11:20253PROMPT-TO-PRODUCTION: AI-DRIVEN DESIGN AND ROBOTIC FABRICATION FOR RAPIDLY RECONFIGURABLE CIRCULAR TIMBER ASSEMBLIES
By Nils Opgenorth, Zhenxiang Huang, Jonas Maria Mertens, Hans Jakob Wagner and Achim Menges</v>
      </c>
      <c r="B331" s="5">
        <f t="shared" si="15"/>
        <v>0.46180555555555519</v>
      </c>
      <c r="C331" s="5">
        <f t="shared" si="16"/>
        <v>0.4652777777777774</v>
      </c>
      <c r="D331" s="118"/>
      <c r="E331" s="50"/>
      <c r="F331" s="51" t="s">
        <v>141</v>
      </c>
      <c r="G331" s="46">
        <v>253</v>
      </c>
      <c r="H331" s="73" t="s">
        <v>235</v>
      </c>
      <c r="I331" s="48"/>
      <c r="J331" s="53"/>
      <c r="K331" s="48"/>
      <c r="L331" s="53"/>
      <c r="M331" s="48"/>
      <c r="N331" s="53"/>
      <c r="O331" s="48"/>
      <c r="P331" s="53"/>
    </row>
    <row r="332" spans="1:16" ht="12.95" hidden="1" customHeight="1">
      <c r="A332" s="3" t="str">
        <f t="shared" si="17"/>
        <v/>
      </c>
      <c r="B332" s="5">
        <f t="shared" si="15"/>
        <v>0.4652777777777774</v>
      </c>
      <c r="C332" s="5">
        <f t="shared" si="16"/>
        <v>0.46874999999999961</v>
      </c>
      <c r="D332" s="44"/>
      <c r="E332" s="50"/>
      <c r="F332" s="44"/>
      <c r="G332" s="46"/>
      <c r="H332" s="73"/>
      <c r="I332" s="48"/>
      <c r="J332" s="49"/>
      <c r="K332" s="48"/>
      <c r="L332" s="49"/>
      <c r="M332" s="48"/>
      <c r="N332" s="49"/>
      <c r="O332" s="48"/>
      <c r="P332" s="49"/>
    </row>
    <row r="333" spans="1:16" ht="12.95" hidden="1" customHeight="1">
      <c r="A333" s="3" t="str">
        <f t="shared" si="17"/>
        <v/>
      </c>
      <c r="B333" s="5">
        <f t="shared" si="15"/>
        <v>0.46874999999999961</v>
      </c>
      <c r="C333" s="5">
        <f t="shared" si="16"/>
        <v>0.47222222222222182</v>
      </c>
      <c r="D333" s="44"/>
      <c r="E333" s="50"/>
      <c r="F333" s="44"/>
      <c r="G333" s="46"/>
      <c r="H333" s="73"/>
      <c r="I333" s="48"/>
      <c r="J333" s="49"/>
      <c r="K333" s="48"/>
      <c r="L333" s="49"/>
      <c r="M333" s="48"/>
      <c r="N333" s="49"/>
      <c r="O333" s="48"/>
      <c r="P333" s="49"/>
    </row>
    <row r="334" spans="1:16" ht="12.95" customHeight="1">
      <c r="A334" s="3" t="str">
        <f t="shared" si="17"/>
        <v>11:20 - 11:40Discussion</v>
      </c>
      <c r="B334" s="5">
        <f t="shared" si="15"/>
        <v>0.47222222222222182</v>
      </c>
      <c r="C334" s="5">
        <f t="shared" si="16"/>
        <v>0.47569444444444403</v>
      </c>
      <c r="D334" s="118"/>
      <c r="E334" s="50"/>
      <c r="F334" s="51" t="s">
        <v>236</v>
      </c>
      <c r="G334" s="46"/>
      <c r="H334" s="52" t="s">
        <v>45</v>
      </c>
      <c r="I334" s="48"/>
      <c r="J334" s="53"/>
      <c r="K334" s="48"/>
      <c r="L334" s="53"/>
      <c r="M334" s="48"/>
      <c r="N334" s="53"/>
      <c r="O334" s="48"/>
      <c r="P334" s="53"/>
    </row>
    <row r="335" spans="1:16" ht="12.95" hidden="1" customHeight="1">
      <c r="A335" s="3" t="str">
        <f t="shared" si="17"/>
        <v/>
      </c>
      <c r="B335" s="5">
        <f t="shared" si="15"/>
        <v>0.47569444444444403</v>
      </c>
      <c r="C335" s="5">
        <f t="shared" si="16"/>
        <v>0.47916666666666624</v>
      </c>
      <c r="D335" s="44"/>
      <c r="E335" s="50"/>
      <c r="F335" s="44"/>
      <c r="G335" s="46"/>
      <c r="H335" s="73"/>
      <c r="I335" s="48"/>
      <c r="J335" s="49"/>
      <c r="K335" s="48"/>
      <c r="L335" s="49"/>
      <c r="M335" s="48"/>
      <c r="N335" s="49"/>
      <c r="O335" s="48"/>
      <c r="P335" s="49"/>
    </row>
    <row r="336" spans="1:16" ht="12.95" hidden="1" customHeight="1">
      <c r="A336" s="3" t="str">
        <f t="shared" si="17"/>
        <v/>
      </c>
      <c r="B336" s="5">
        <f t="shared" si="15"/>
        <v>0.47916666666666624</v>
      </c>
      <c r="C336" s="5">
        <f t="shared" si="16"/>
        <v>0.48263888888888845</v>
      </c>
      <c r="D336" s="44"/>
      <c r="E336" s="50"/>
      <c r="F336" s="44"/>
      <c r="G336" s="46"/>
      <c r="H336" s="73"/>
      <c r="I336" s="48"/>
      <c r="J336" s="49"/>
      <c r="K336" s="48"/>
      <c r="L336" s="49"/>
      <c r="M336" s="48"/>
      <c r="N336" s="49"/>
      <c r="O336" s="48"/>
      <c r="P336" s="49"/>
    </row>
    <row r="337" spans="1:16" ht="12.95" hidden="1" customHeight="1">
      <c r="A337" s="3" t="str">
        <f t="shared" si="17"/>
        <v/>
      </c>
      <c r="B337" s="5">
        <f t="shared" si="15"/>
        <v>0.48263888888888845</v>
      </c>
      <c r="C337" s="5">
        <f t="shared" si="16"/>
        <v>0.48611111111111066</v>
      </c>
      <c r="D337" s="44"/>
      <c r="E337" s="50"/>
      <c r="F337" s="44"/>
      <c r="G337" s="46"/>
      <c r="H337" s="73"/>
      <c r="I337" s="48"/>
      <c r="J337" s="49"/>
      <c r="K337" s="48"/>
      <c r="L337" s="49"/>
      <c r="M337" s="48"/>
      <c r="N337" s="49"/>
      <c r="O337" s="48"/>
      <c r="P337" s="49"/>
    </row>
    <row r="338" spans="1:16" ht="12.95" customHeight="1">
      <c r="A338" s="3" t="str">
        <f t="shared" si="17"/>
        <v>11:40 - 12:00Break</v>
      </c>
      <c r="B338" s="5">
        <f t="shared" si="15"/>
        <v>0.48611111111111066</v>
      </c>
      <c r="C338" s="5">
        <f t="shared" si="16"/>
        <v>0.48958333333333287</v>
      </c>
      <c r="D338" s="114" t="s">
        <v>237</v>
      </c>
      <c r="E338" s="14" t="s">
        <v>24</v>
      </c>
      <c r="F338" s="13"/>
      <c r="G338" s="16"/>
      <c r="H338" s="70"/>
      <c r="I338" s="18"/>
      <c r="J338" s="19"/>
      <c r="K338" s="18"/>
      <c r="L338" s="19"/>
      <c r="M338" s="18"/>
      <c r="N338" s="19"/>
      <c r="O338" s="18"/>
      <c r="P338" s="19"/>
    </row>
    <row r="339" spans="1:16" ht="12.95" hidden="1" customHeight="1">
      <c r="A339" s="3" t="str">
        <f t="shared" si="17"/>
        <v/>
      </c>
      <c r="B339" s="5">
        <f t="shared" si="15"/>
        <v>0.48958333333333287</v>
      </c>
      <c r="C339" s="5">
        <f t="shared" si="16"/>
        <v>0.49305555555555508</v>
      </c>
      <c r="D339" s="13"/>
      <c r="E339" s="14"/>
      <c r="F339" s="13"/>
      <c r="G339" s="16"/>
      <c r="H339" s="70"/>
      <c r="I339" s="18"/>
      <c r="J339" s="19"/>
      <c r="K339" s="18"/>
      <c r="L339" s="19"/>
      <c r="M339" s="18"/>
      <c r="N339" s="19"/>
      <c r="O339" s="18"/>
      <c r="P339" s="19"/>
    </row>
    <row r="340" spans="1:16" ht="12.95" hidden="1" customHeight="1">
      <c r="A340" s="3" t="str">
        <f t="shared" si="17"/>
        <v/>
      </c>
      <c r="B340" s="5">
        <f t="shared" si="15"/>
        <v>0.49305555555555508</v>
      </c>
      <c r="C340" s="5">
        <f t="shared" si="16"/>
        <v>0.49652777777777729</v>
      </c>
      <c r="D340" s="13"/>
      <c r="E340" s="14"/>
      <c r="F340" s="13"/>
      <c r="G340" s="16"/>
      <c r="H340" s="70"/>
      <c r="I340" s="18"/>
      <c r="J340" s="19"/>
      <c r="K340" s="18"/>
      <c r="L340" s="19"/>
      <c r="M340" s="18"/>
      <c r="N340" s="19"/>
      <c r="O340" s="18"/>
      <c r="P340" s="19"/>
    </row>
    <row r="341" spans="1:16" ht="12.95" hidden="1" customHeight="1" thickBot="1">
      <c r="A341" s="3" t="str">
        <f t="shared" si="17"/>
        <v/>
      </c>
      <c r="B341" s="6">
        <f t="shared" si="15"/>
        <v>0.49652777777777729</v>
      </c>
      <c r="C341" s="6">
        <f t="shared" si="16"/>
        <v>0.4999999999999995</v>
      </c>
      <c r="D341" s="13"/>
      <c r="E341" s="14"/>
      <c r="F341" s="13"/>
      <c r="G341" s="16"/>
      <c r="H341" s="70"/>
      <c r="I341" s="18"/>
      <c r="J341" s="19"/>
      <c r="K341" s="18"/>
      <c r="L341" s="19"/>
      <c r="M341" s="18"/>
      <c r="N341" s="19"/>
      <c r="O341" s="18"/>
      <c r="P341" s="19"/>
    </row>
    <row r="342" spans="1:16" ht="12.95" customHeight="1">
      <c r="A342" s="3" t="str">
        <f t="shared" si="17"/>
        <v>A. EVALUATING &amp; EXPANDING AIB. IMMERSIVE LEARNING &amp; DESIGNC. BUILDING ARCHITECTURAL INTELLIENCE</v>
      </c>
      <c r="B342" s="5"/>
      <c r="C342" s="5"/>
      <c r="D342" s="119"/>
      <c r="E342" s="55"/>
      <c r="F342" s="54"/>
      <c r="G342" s="56"/>
      <c r="H342" s="74"/>
      <c r="I342" s="94"/>
      <c r="J342" s="95" t="s">
        <v>361</v>
      </c>
      <c r="K342" s="94"/>
      <c r="L342" s="95" t="s">
        <v>362</v>
      </c>
      <c r="M342" s="94"/>
      <c r="N342" s="95" t="s">
        <v>363</v>
      </c>
      <c r="O342" s="94"/>
      <c r="P342" s="95"/>
    </row>
    <row r="343" spans="1:16" ht="12.95" customHeight="1">
      <c r="A343" s="3" t="str">
        <f t="shared" si="17"/>
        <v>12:00 - 12:50Parallel Paper Presentations:12:00 - 12:10Presentation 1135BRIDGING THE GAP: ENHANCING AI-GENERATED FLOOR PLANS WITH MULTI-MODAL DATA INTEGRATION
By Martin Bielik, Sven Schneider, Luyang Zhang and Milan Valasek68CAN AI-BASED SUGGESTIONS SUPPORT DESIGNING IN IMMERSIVE ENVIRONMENTS?
By Tai Shobuya et al.79CONSOLIDATED EMPIRICAL BIO-MATERIAL REPOSITORY
By M. Hank Haeusler, Azia Carrother and Cristina Ramos Jaime</v>
      </c>
      <c r="B343" s="5">
        <f>C341</f>
        <v>0.4999999999999995</v>
      </c>
      <c r="C343" s="5">
        <f t="shared" si="16"/>
        <v>0.50347222222222177</v>
      </c>
      <c r="D343" s="119" t="s">
        <v>240</v>
      </c>
      <c r="E343" s="55" t="s">
        <v>325</v>
      </c>
      <c r="F343" s="54" t="s">
        <v>244</v>
      </c>
      <c r="G343" s="56"/>
      <c r="H343" s="74" t="s">
        <v>326</v>
      </c>
      <c r="I343" s="58">
        <v>135</v>
      </c>
      <c r="J343" s="59" t="s">
        <v>103</v>
      </c>
      <c r="K343" s="58">
        <v>68</v>
      </c>
      <c r="L343" s="59" t="s">
        <v>364</v>
      </c>
      <c r="M343" s="58">
        <v>79</v>
      </c>
      <c r="N343" s="59" t="s">
        <v>266</v>
      </c>
      <c r="O343" s="58"/>
      <c r="P343" s="59"/>
    </row>
    <row r="344" spans="1:16" ht="12.95" hidden="1" customHeight="1">
      <c r="A344" s="3" t="str">
        <f t="shared" si="17"/>
        <v/>
      </c>
      <c r="B344" s="5">
        <f t="shared" si="15"/>
        <v>0.50347222222222177</v>
      </c>
      <c r="C344" s="5">
        <f t="shared" si="16"/>
        <v>0.50694444444444398</v>
      </c>
      <c r="D344" s="54"/>
      <c r="E344" s="55"/>
      <c r="F344" s="54"/>
      <c r="G344" s="56"/>
      <c r="H344" s="74"/>
      <c r="I344" s="58"/>
      <c r="J344" s="59"/>
      <c r="K344" s="58"/>
      <c r="L344" s="59"/>
      <c r="M344" s="58"/>
      <c r="N344" s="59"/>
      <c r="O344" s="58"/>
      <c r="P344" s="59"/>
    </row>
    <row r="345" spans="1:16" ht="12.95" customHeight="1">
      <c r="A345" s="3" t="str">
        <f t="shared" si="17"/>
        <v>12:10 - 12:20 Presentation 280AI2D-ARCHITECTURE: A BENCHMARK FOR EVALUATING MULTIMODAL LARGE LANGUAGE MODELS IN ARCHITECTURE
By Xuyou Yang and Immanuel Koh276AUGMENTED SCALE PERCEPTION: EXPLORING A FULL-SCALE ARCHITECTURAL EDUCATION APPROACH BASED ON MAR
By Han Jin, Hao Wang and Ruifeng Tian313GENERATIVE DESIGN INTELLIGENCE: EXTRACTING DESIGN SPECIFIC SUSTAINABILITY INSIGHTS AND MATERIAL METRICS FROM GENERATIVE ARTIFICIAL INTELLIGENCE OUTPUT
By Richa Gupta and Alexander Htet Kyaw</v>
      </c>
      <c r="B345" s="5">
        <f t="shared" si="15"/>
        <v>0.50694444444444398</v>
      </c>
      <c r="C345" s="5">
        <f t="shared" si="16"/>
        <v>0.51041666666666619</v>
      </c>
      <c r="D345" s="119"/>
      <c r="E345" s="55"/>
      <c r="F345" s="54" t="s">
        <v>245</v>
      </c>
      <c r="G345" s="56"/>
      <c r="H345" s="74" t="s">
        <v>327</v>
      </c>
      <c r="I345" s="58">
        <v>80</v>
      </c>
      <c r="J345" s="59" t="s">
        <v>246</v>
      </c>
      <c r="K345" s="58">
        <v>276</v>
      </c>
      <c r="L345" s="59" t="s">
        <v>258</v>
      </c>
      <c r="M345" s="58">
        <v>313</v>
      </c>
      <c r="N345" s="59" t="s">
        <v>268</v>
      </c>
      <c r="O345" s="58"/>
      <c r="P345" s="59"/>
    </row>
    <row r="346" spans="1:16" ht="12.95" hidden="1" customHeight="1">
      <c r="A346" s="3" t="str">
        <f t="shared" si="17"/>
        <v/>
      </c>
      <c r="B346" s="5">
        <f t="shared" si="15"/>
        <v>0.51041666666666619</v>
      </c>
      <c r="C346" s="5">
        <f t="shared" si="16"/>
        <v>0.5138888888888884</v>
      </c>
      <c r="D346" s="54"/>
      <c r="E346" s="55"/>
      <c r="F346" s="54"/>
      <c r="G346" s="56"/>
      <c r="H346" s="74"/>
      <c r="I346" s="58"/>
      <c r="J346" s="59"/>
      <c r="K346" s="58"/>
      <c r="L346" s="59"/>
      <c r="M346" s="58"/>
      <c r="N346" s="59"/>
      <c r="O346" s="58"/>
      <c r="P346" s="59"/>
    </row>
    <row r="347" spans="1:16" ht="12.95" customHeight="1">
      <c r="A347" s="3" t="str">
        <f t="shared" si="17"/>
        <v>12:20 - 12:30Presentation 3145COMPARING DIFFERENT BUILDING REPRESENTATIONS FOR READABILITY BY LARGE LANGUAGE MODELS
By Guy Austern, Moria Schwarz and Boaz Sternfeld379VIRTUAL SPACE DESIGN THROUGH PHYSICAL OBJECT RECOGNITION, HOLOLENS-BASED FURNITURE TRACKING AND AI-DRIVEN REAL-TIME LAYOUT GENERATION
By Wenqian Yang, Anton Savov and Benjamin Dillenguber133ENVIRONMENTAL-DRIVEN DIGITAL FABRICATION: CONTROLLING 3D-PRINTING PARAMETERS WITH DATA FROM CFD SIMULATION
By Hangchuan Wei, Richard Beckett and Marjan Colletti</v>
      </c>
      <c r="B347" s="5">
        <f t="shared" si="15"/>
        <v>0.5138888888888884</v>
      </c>
      <c r="C347" s="5">
        <f t="shared" si="16"/>
        <v>0.51736111111111061</v>
      </c>
      <c r="D347" s="119"/>
      <c r="E347" s="55"/>
      <c r="F347" s="54" t="s">
        <v>247</v>
      </c>
      <c r="G347" s="56"/>
      <c r="H347" s="74" t="s">
        <v>329</v>
      </c>
      <c r="I347" s="58">
        <v>145</v>
      </c>
      <c r="J347" s="59" t="s">
        <v>248</v>
      </c>
      <c r="K347" s="58">
        <v>379</v>
      </c>
      <c r="L347" s="59" t="s">
        <v>259</v>
      </c>
      <c r="M347" s="58">
        <v>133</v>
      </c>
      <c r="N347" s="59" t="s">
        <v>270</v>
      </c>
      <c r="O347" s="58"/>
      <c r="P347" s="59"/>
    </row>
    <row r="348" spans="1:16" ht="12.95" hidden="1" customHeight="1">
      <c r="A348" s="3" t="str">
        <f t="shared" si="17"/>
        <v/>
      </c>
      <c r="B348" s="5">
        <f t="shared" si="15"/>
        <v>0.51736111111111061</v>
      </c>
      <c r="C348" s="5">
        <f t="shared" si="16"/>
        <v>0.52083333333333282</v>
      </c>
      <c r="D348" s="54"/>
      <c r="E348" s="55"/>
      <c r="F348" s="54"/>
      <c r="G348" s="56"/>
      <c r="H348" s="74"/>
      <c r="I348" s="58"/>
      <c r="J348" s="59"/>
      <c r="K348" s="58"/>
      <c r="L348" s="59"/>
      <c r="M348" s="58"/>
      <c r="N348" s="59"/>
      <c r="O348" s="58"/>
      <c r="P348" s="59"/>
    </row>
    <row r="349" spans="1:16" ht="12.95" customHeight="1">
      <c r="A349" s="3" t="str">
        <f t="shared" si="17"/>
        <v>12:30 - 12:40Presentation 419INTEGRATING REGULATORY COMPLIANCE IN AI-ASSISTED ARCHITECTURAL DESIGN
By Tinghao Feng, Yulu Zhang, Xinhui Xu, Zhengcheng He, Wenjing Li and Philip F. Yuan428A FRAMEWORK FOR VIRTUAL WINDOWS TO ENHANCE INDOOR SPATIAL EXPERIENCE IN EXTENDED REALITY
By Hyeokjin Choi et al.395OPTIMIZED ACOUSTICS FOR MEETING PODS
By Giacomo Montiani, Matthias Helmreich and Achilleas Xydis</v>
      </c>
      <c r="B349" s="5">
        <f t="shared" si="15"/>
        <v>0.52083333333333282</v>
      </c>
      <c r="C349" s="5">
        <f t="shared" si="16"/>
        <v>0.52430555555555503</v>
      </c>
      <c r="D349" s="119"/>
      <c r="E349" s="55"/>
      <c r="F349" s="54" t="s">
        <v>250</v>
      </c>
      <c r="G349" s="56"/>
      <c r="H349" s="74" t="s">
        <v>331</v>
      </c>
      <c r="I349" s="58">
        <v>19</v>
      </c>
      <c r="J349" s="59" t="s">
        <v>251</v>
      </c>
      <c r="K349" s="58">
        <v>428</v>
      </c>
      <c r="L349" s="59" t="s">
        <v>365</v>
      </c>
      <c r="M349" s="58">
        <v>395</v>
      </c>
      <c r="N349" s="59" t="s">
        <v>271</v>
      </c>
      <c r="O349" s="58"/>
      <c r="P349" s="59"/>
    </row>
    <row r="350" spans="1:16" ht="12.95" hidden="1" customHeight="1">
      <c r="A350" s="3" t="str">
        <f t="shared" si="17"/>
        <v/>
      </c>
      <c r="B350" s="5">
        <f t="shared" si="15"/>
        <v>0.52430555555555503</v>
      </c>
      <c r="C350" s="5">
        <f t="shared" si="16"/>
        <v>0.52777777777777724</v>
      </c>
      <c r="D350" s="54"/>
      <c r="E350" s="55"/>
      <c r="F350" s="54"/>
      <c r="G350" s="56"/>
      <c r="H350" s="74"/>
      <c r="I350" s="58"/>
      <c r="J350" s="59"/>
      <c r="K350" s="58"/>
      <c r="L350" s="59"/>
      <c r="M350" s="58"/>
      <c r="N350" s="59"/>
      <c r="O350" s="58"/>
      <c r="P350" s="59"/>
    </row>
    <row r="351" spans="1:16" ht="12.95" customHeight="1">
      <c r="A351" s="3" t="str">
        <f t="shared" si="17"/>
        <v>12:40 - 12:50Presentation 5111RESONANT BLECH: EMERGENT SOUNDSCAPES THROUGH HUMAN-AI INTERACTION
By Alexander Urban et al.</v>
      </c>
      <c r="B351" s="5">
        <f t="shared" si="15"/>
        <v>0.52777777777777724</v>
      </c>
      <c r="C351" s="5">
        <f t="shared" si="16"/>
        <v>0.53124999999999944</v>
      </c>
      <c r="D351" s="119"/>
      <c r="E351" s="55"/>
      <c r="F351" s="54" t="s">
        <v>253</v>
      </c>
      <c r="G351" s="56"/>
      <c r="H351" s="74" t="s">
        <v>332</v>
      </c>
      <c r="I351" s="58"/>
      <c r="J351" s="59"/>
      <c r="K351" s="58">
        <v>111</v>
      </c>
      <c r="L351" s="59" t="s">
        <v>366</v>
      </c>
      <c r="M351" s="58"/>
      <c r="N351" s="59"/>
      <c r="O351" s="58"/>
      <c r="P351" s="59"/>
    </row>
    <row r="352" spans="1:16" ht="12.95" hidden="1" customHeight="1">
      <c r="A352" s="3" t="str">
        <f t="shared" si="17"/>
        <v/>
      </c>
      <c r="B352" s="5">
        <f t="shared" si="15"/>
        <v>0.53124999999999944</v>
      </c>
      <c r="C352" s="5">
        <f t="shared" si="16"/>
        <v>0.53472222222222165</v>
      </c>
      <c r="D352" s="54"/>
      <c r="E352" s="55"/>
      <c r="F352" s="54"/>
      <c r="G352" s="56"/>
      <c r="H352" s="74"/>
      <c r="I352" s="58"/>
      <c r="J352" s="60"/>
      <c r="K352" s="58"/>
      <c r="L352" s="60"/>
      <c r="M352" s="58"/>
      <c r="N352" s="60"/>
      <c r="O352" s="58"/>
      <c r="P352" s="60"/>
    </row>
    <row r="353" spans="1:16" ht="12.95" customHeight="1">
      <c r="A353" s="3" t="str">
        <f t="shared" si="17"/>
        <v>12:50 - 13:40Lunch Break / Poster Viewing</v>
      </c>
      <c r="B353" s="5">
        <f t="shared" si="15"/>
        <v>0.53472222222222165</v>
      </c>
      <c r="C353" s="5">
        <f t="shared" si="16"/>
        <v>0.53819444444444386</v>
      </c>
      <c r="D353" s="115" t="s">
        <v>272</v>
      </c>
      <c r="E353" s="21" t="s">
        <v>46</v>
      </c>
      <c r="F353" s="20"/>
      <c r="G353" s="22"/>
      <c r="H353" s="75"/>
      <c r="I353" s="24"/>
      <c r="J353" s="25"/>
      <c r="K353" s="24"/>
      <c r="L353" s="25"/>
      <c r="M353" s="24"/>
      <c r="N353" s="25"/>
      <c r="O353" s="24"/>
      <c r="P353" s="25"/>
    </row>
    <row r="354" spans="1:16" ht="12.95" hidden="1" customHeight="1" thickBot="1">
      <c r="A354" s="3" t="str">
        <f t="shared" si="17"/>
        <v/>
      </c>
      <c r="B354" s="6">
        <f t="shared" si="15"/>
        <v>0.53819444444444386</v>
      </c>
      <c r="C354" s="6">
        <f t="shared" si="16"/>
        <v>0.54166666666666607</v>
      </c>
      <c r="D354" s="20"/>
      <c r="E354" s="21"/>
      <c r="F354" s="20"/>
      <c r="G354" s="22"/>
      <c r="H354" s="75"/>
      <c r="I354" s="24"/>
      <c r="J354" s="25"/>
      <c r="K354" s="24"/>
      <c r="L354" s="25"/>
      <c r="M354" s="24"/>
      <c r="N354" s="25"/>
      <c r="O354" s="24"/>
      <c r="P354" s="25"/>
    </row>
    <row r="355" spans="1:16" ht="12.95" hidden="1" customHeight="1">
      <c r="A355" s="3" t="str">
        <f t="shared" si="17"/>
        <v/>
      </c>
      <c r="B355" s="5">
        <f t="shared" si="15"/>
        <v>0.54166666666666607</v>
      </c>
      <c r="C355" s="5">
        <f t="shared" si="16"/>
        <v>0.54513888888888828</v>
      </c>
      <c r="D355" s="20"/>
      <c r="E355" s="21"/>
      <c r="F355" s="20"/>
      <c r="G355" s="22"/>
      <c r="H355" s="75"/>
      <c r="I355" s="24"/>
      <c r="J355" s="25"/>
      <c r="K355" s="24"/>
      <c r="L355" s="25"/>
      <c r="M355" s="24"/>
      <c r="N355" s="25"/>
      <c r="O355" s="24"/>
      <c r="P355" s="25"/>
    </row>
    <row r="356" spans="1:16" ht="12.95" hidden="1" customHeight="1">
      <c r="A356" s="3" t="str">
        <f t="shared" si="17"/>
        <v/>
      </c>
      <c r="B356" s="5">
        <f t="shared" si="15"/>
        <v>0.54513888888888828</v>
      </c>
      <c r="C356" s="5">
        <f t="shared" si="16"/>
        <v>0.54861111111111049</v>
      </c>
      <c r="D356" s="20"/>
      <c r="E356" s="21"/>
      <c r="F356" s="20"/>
      <c r="G356" s="22"/>
      <c r="H356" s="75"/>
      <c r="I356" s="24"/>
      <c r="J356" s="25"/>
      <c r="K356" s="24"/>
      <c r="L356" s="25"/>
      <c r="M356" s="24"/>
      <c r="N356" s="25"/>
      <c r="O356" s="24"/>
      <c r="P356" s="25"/>
    </row>
    <row r="357" spans="1:16" ht="12.95" hidden="1" customHeight="1">
      <c r="A357" s="3" t="str">
        <f t="shared" si="17"/>
        <v/>
      </c>
      <c r="B357" s="5">
        <f t="shared" si="15"/>
        <v>0.54861111111111049</v>
      </c>
      <c r="C357" s="5">
        <f t="shared" si="16"/>
        <v>0.5520833333333327</v>
      </c>
      <c r="D357" s="20"/>
      <c r="E357" s="21"/>
      <c r="F357" s="20"/>
      <c r="G357" s="22"/>
      <c r="H357" s="75"/>
      <c r="I357" s="24"/>
      <c r="J357" s="25"/>
      <c r="K357" s="24"/>
      <c r="L357" s="25"/>
      <c r="M357" s="24"/>
      <c r="N357" s="25"/>
      <c r="O357" s="24"/>
      <c r="P357" s="25"/>
    </row>
    <row r="358" spans="1:16" ht="12.95" hidden="1" customHeight="1">
      <c r="A358" s="3" t="str">
        <f t="shared" si="17"/>
        <v/>
      </c>
      <c r="B358" s="5">
        <f t="shared" si="15"/>
        <v>0.5520833333333327</v>
      </c>
      <c r="C358" s="5">
        <f t="shared" si="16"/>
        <v>0.55555555555555491</v>
      </c>
      <c r="D358" s="20"/>
      <c r="E358" s="21"/>
      <c r="F358" s="20"/>
      <c r="G358" s="22"/>
      <c r="H358" s="75"/>
      <c r="I358" s="24"/>
      <c r="J358" s="25"/>
      <c r="K358" s="24"/>
      <c r="L358" s="25"/>
      <c r="M358" s="24"/>
      <c r="N358" s="25"/>
      <c r="O358" s="24"/>
      <c r="P358" s="25"/>
    </row>
    <row r="359" spans="1:16" ht="12.95" hidden="1" customHeight="1">
      <c r="A359" s="3" t="str">
        <f t="shared" si="17"/>
        <v/>
      </c>
      <c r="B359" s="5">
        <f t="shared" si="15"/>
        <v>0.55555555555555491</v>
      </c>
      <c r="C359" s="5">
        <f t="shared" si="16"/>
        <v>0.55902777777777712</v>
      </c>
      <c r="D359" s="20"/>
      <c r="E359" s="21"/>
      <c r="F359" s="20"/>
      <c r="G359" s="22"/>
      <c r="H359" s="75"/>
      <c r="I359" s="24"/>
      <c r="J359" s="25"/>
      <c r="K359" s="24"/>
      <c r="L359" s="25"/>
      <c r="M359" s="24"/>
      <c r="N359" s="25"/>
      <c r="O359" s="24"/>
      <c r="P359" s="25"/>
    </row>
    <row r="360" spans="1:16" ht="12.95" hidden="1" customHeight="1">
      <c r="A360" s="3" t="str">
        <f t="shared" si="17"/>
        <v/>
      </c>
      <c r="B360" s="5">
        <f t="shared" si="15"/>
        <v>0.55902777777777712</v>
      </c>
      <c r="C360" s="5">
        <f t="shared" si="16"/>
        <v>0.56249999999999933</v>
      </c>
      <c r="D360" s="20"/>
      <c r="E360" s="21"/>
      <c r="F360" s="20"/>
      <c r="G360" s="22"/>
      <c r="H360" s="75"/>
      <c r="I360" s="24"/>
      <c r="J360" s="25"/>
      <c r="K360" s="24"/>
      <c r="L360" s="25"/>
      <c r="M360" s="24"/>
      <c r="N360" s="25"/>
      <c r="O360" s="24"/>
      <c r="P360" s="25"/>
    </row>
    <row r="361" spans="1:16" ht="12.95" hidden="1" customHeight="1">
      <c r="A361" s="3" t="str">
        <f t="shared" si="17"/>
        <v/>
      </c>
      <c r="B361" s="5">
        <f t="shared" si="15"/>
        <v>0.56249999999999933</v>
      </c>
      <c r="C361" s="5">
        <f t="shared" si="16"/>
        <v>0.56597222222222154</v>
      </c>
      <c r="D361" s="20"/>
      <c r="E361" s="21"/>
      <c r="F361" s="20"/>
      <c r="G361" s="22"/>
      <c r="H361" s="75"/>
      <c r="I361" s="24"/>
      <c r="J361" s="25"/>
      <c r="K361" s="24"/>
      <c r="L361" s="25"/>
      <c r="M361" s="24"/>
      <c r="N361" s="25"/>
      <c r="O361" s="24"/>
      <c r="P361" s="25"/>
    </row>
    <row r="362" spans="1:16" ht="12.95" hidden="1" customHeight="1">
      <c r="A362" s="3" t="str">
        <f t="shared" si="17"/>
        <v/>
      </c>
      <c r="B362" s="5">
        <f t="shared" si="15"/>
        <v>0.56597222222222154</v>
      </c>
      <c r="C362" s="5">
        <f t="shared" si="16"/>
        <v>0.56944444444444375</v>
      </c>
      <c r="D362" s="20"/>
      <c r="E362" s="21"/>
      <c r="F362" s="20"/>
      <c r="G362" s="22"/>
      <c r="H362" s="75"/>
      <c r="I362" s="24"/>
      <c r="J362" s="25"/>
      <c r="K362" s="24"/>
      <c r="L362" s="25"/>
      <c r="M362" s="24"/>
      <c r="N362" s="25"/>
      <c r="O362" s="24"/>
      <c r="P362" s="25"/>
    </row>
    <row r="363" spans="1:16" ht="12.95" customHeight="1">
      <c r="A363" s="3" t="str">
        <f t="shared" si="17"/>
        <v>13:40 - 14:50Speaker-driven Selected Paper Session 5:
ARCHITECTURAL COMPUTING &amp; REASONING13:40 - 13:45intro</v>
      </c>
      <c r="B363" s="5">
        <f t="shared" si="15"/>
        <v>0.56944444444444375</v>
      </c>
      <c r="C363" s="5">
        <f t="shared" si="16"/>
        <v>0.57291666666666596</v>
      </c>
      <c r="D363" s="118" t="s">
        <v>276</v>
      </c>
      <c r="E363" s="45" t="s">
        <v>367</v>
      </c>
      <c r="F363" s="44" t="s">
        <v>278</v>
      </c>
      <c r="G363" s="46"/>
      <c r="H363" s="73" t="s">
        <v>37</v>
      </c>
      <c r="I363" s="48"/>
      <c r="J363" s="49"/>
      <c r="K363" s="48"/>
      <c r="L363" s="49"/>
      <c r="M363" s="48"/>
      <c r="N363" s="49"/>
      <c r="O363" s="48"/>
      <c r="P363" s="49"/>
    </row>
    <row r="364" spans="1:16" ht="12.95" customHeight="1">
      <c r="A364" s="3" t="str">
        <f t="shared" si="17"/>
        <v>13:45 - 14:00114CONSTRUCTGNN: A GRAPH NEURAL NETWORK FRAMEWORK FOR ADAPTIVE 3D ARCHITECTURAL LAYOUT
By Quan Zhou, Yize Li, Zejian Li and Immanuel Koh</v>
      </c>
      <c r="B364" s="5">
        <f t="shared" si="15"/>
        <v>0.57291666666666596</v>
      </c>
      <c r="C364" s="5">
        <f t="shared" si="16"/>
        <v>0.57638888888888817</v>
      </c>
      <c r="D364" s="118"/>
      <c r="E364" s="50"/>
      <c r="F364" s="51" t="s">
        <v>279</v>
      </c>
      <c r="G364" s="46">
        <v>114</v>
      </c>
      <c r="H364" s="52" t="s">
        <v>280</v>
      </c>
      <c r="I364" s="48"/>
      <c r="J364" s="53"/>
      <c r="K364" s="48"/>
      <c r="L364" s="53"/>
      <c r="M364" s="48"/>
      <c r="N364" s="53"/>
      <c r="O364" s="48"/>
      <c r="P364" s="53"/>
    </row>
    <row r="365" spans="1:16" ht="12.95" hidden="1" customHeight="1">
      <c r="A365" s="3" t="str">
        <f t="shared" si="17"/>
        <v/>
      </c>
      <c r="B365" s="5">
        <f t="shared" si="15"/>
        <v>0.57638888888888817</v>
      </c>
      <c r="C365" s="5">
        <f t="shared" si="16"/>
        <v>0.57986111111111038</v>
      </c>
      <c r="D365" s="44"/>
      <c r="E365" s="50"/>
      <c r="F365" s="44"/>
      <c r="G365" s="46"/>
      <c r="H365" s="73"/>
      <c r="I365" s="48"/>
      <c r="J365" s="49"/>
      <c r="K365" s="48"/>
      <c r="L365" s="49"/>
      <c r="M365" s="48"/>
      <c r="N365" s="49"/>
      <c r="O365" s="48"/>
      <c r="P365" s="49"/>
    </row>
    <row r="366" spans="1:16" ht="12.95" hidden="1" customHeight="1" thickBot="1">
      <c r="A366" s="3" t="str">
        <f t="shared" si="17"/>
        <v/>
      </c>
      <c r="B366" s="6">
        <f t="shared" ref="B366:B426" si="18">C365</f>
        <v>0.57986111111111038</v>
      </c>
      <c r="C366" s="6">
        <f t="shared" ref="C366:C426" si="19">B366+TIME(0,5,0)</f>
        <v>0.58333333333333259</v>
      </c>
      <c r="D366" s="44"/>
      <c r="E366" s="50"/>
      <c r="F366" s="44"/>
      <c r="G366" s="46"/>
      <c r="H366" s="73"/>
      <c r="I366" s="48"/>
      <c r="J366" s="49"/>
      <c r="K366" s="48"/>
      <c r="L366" s="49"/>
      <c r="M366" s="48"/>
      <c r="N366" s="49"/>
      <c r="O366" s="48"/>
      <c r="P366" s="49"/>
    </row>
    <row r="367" spans="1:16" ht="12.95" customHeight="1">
      <c r="A367" s="3" t="str">
        <f t="shared" si="17"/>
        <v>14:00 - 14:15231READING BETWEEN THE LINES: BRIDGING AI AND ARCHITECTURAL KNOWLEDGE IN FLOORPLAN UNDERSTANDING
By Marija Mateljan, Seyran Khademi and Georg Vrachliotis</v>
      </c>
      <c r="B367" s="5">
        <f t="shared" si="18"/>
        <v>0.58333333333333259</v>
      </c>
      <c r="C367" s="5">
        <f t="shared" si="19"/>
        <v>0.5868055555555548</v>
      </c>
      <c r="D367" s="118"/>
      <c r="E367" s="50"/>
      <c r="F367" s="51" t="s">
        <v>195</v>
      </c>
      <c r="G367" s="46">
        <v>231</v>
      </c>
      <c r="H367" s="73" t="s">
        <v>281</v>
      </c>
      <c r="I367" s="48"/>
      <c r="J367" s="53"/>
      <c r="K367" s="48"/>
      <c r="L367" s="53"/>
      <c r="M367" s="48"/>
      <c r="N367" s="53"/>
      <c r="O367" s="48"/>
      <c r="P367" s="53"/>
    </row>
    <row r="368" spans="1:16" ht="12.95" hidden="1" customHeight="1">
      <c r="A368" s="3" t="str">
        <f t="shared" si="17"/>
        <v/>
      </c>
      <c r="B368" s="5">
        <f t="shared" si="18"/>
        <v>0.5868055555555548</v>
      </c>
      <c r="C368" s="5">
        <f t="shared" si="19"/>
        <v>0.59027777777777701</v>
      </c>
      <c r="D368" s="44"/>
      <c r="E368" s="50"/>
      <c r="F368" s="44"/>
      <c r="G368" s="46"/>
      <c r="H368" s="73"/>
      <c r="I368" s="48"/>
      <c r="J368" s="49"/>
      <c r="K368" s="48"/>
      <c r="L368" s="49"/>
      <c r="M368" s="48"/>
      <c r="N368" s="49"/>
      <c r="O368" s="48"/>
      <c r="P368" s="49"/>
    </row>
    <row r="369" spans="1:16" ht="12.95" hidden="1" customHeight="1">
      <c r="A369" s="3" t="str">
        <f t="shared" si="17"/>
        <v/>
      </c>
      <c r="B369" s="5">
        <f t="shared" si="18"/>
        <v>0.59027777777777701</v>
      </c>
      <c r="C369" s="5">
        <f t="shared" si="19"/>
        <v>0.59374999999999922</v>
      </c>
      <c r="D369" s="44"/>
      <c r="E369" s="50"/>
      <c r="F369" s="44"/>
      <c r="G369" s="46"/>
      <c r="H369" s="73"/>
      <c r="I369" s="48"/>
      <c r="J369" s="49"/>
      <c r="K369" s="48"/>
      <c r="L369" s="49"/>
      <c r="M369" s="48"/>
      <c r="N369" s="49"/>
      <c r="O369" s="48"/>
      <c r="P369" s="49"/>
    </row>
    <row r="370" spans="1:16" ht="12.95" customHeight="1">
      <c r="A370" s="3" t="str">
        <f t="shared" si="17"/>
        <v>14:15 - 14:30230COMPUTING BEYOND THE VITRUVIAN CANON: AMBIGUITY AS A CATALYST IN COMPUTATIONAL DESIGN THEORY
By Hayri Dortdivanlioglu</v>
      </c>
      <c r="B370" s="5">
        <f t="shared" si="18"/>
        <v>0.59374999999999922</v>
      </c>
      <c r="C370" s="5">
        <f t="shared" si="19"/>
        <v>0.59722222222222143</v>
      </c>
      <c r="D370" s="118"/>
      <c r="E370" s="50"/>
      <c r="F370" s="51" t="s">
        <v>197</v>
      </c>
      <c r="G370" s="46">
        <v>230</v>
      </c>
      <c r="H370" s="73" t="s">
        <v>282</v>
      </c>
      <c r="I370" s="48"/>
      <c r="J370" s="53"/>
      <c r="K370" s="48"/>
      <c r="L370" s="53"/>
      <c r="M370" s="48"/>
      <c r="N370" s="53"/>
      <c r="O370" s="48"/>
      <c r="P370" s="53"/>
    </row>
    <row r="371" spans="1:16" ht="12.95" hidden="1" customHeight="1">
      <c r="A371" s="3" t="str">
        <f t="shared" si="17"/>
        <v/>
      </c>
      <c r="B371" s="5">
        <f t="shared" si="18"/>
        <v>0.59722222222222143</v>
      </c>
      <c r="C371" s="5">
        <f t="shared" si="19"/>
        <v>0.60069444444444364</v>
      </c>
      <c r="D371" s="44"/>
      <c r="E371" s="50"/>
      <c r="F371" s="44"/>
      <c r="G371" s="46"/>
      <c r="H371" s="73"/>
      <c r="I371" s="48"/>
      <c r="J371" s="49"/>
      <c r="K371" s="48"/>
      <c r="L371" s="49"/>
      <c r="M371" s="48"/>
      <c r="N371" s="49"/>
      <c r="O371" s="48"/>
      <c r="P371" s="49"/>
    </row>
    <row r="372" spans="1:16" ht="12.95" hidden="1" customHeight="1">
      <c r="A372" s="3" t="str">
        <f t="shared" si="17"/>
        <v/>
      </c>
      <c r="B372" s="5">
        <f t="shared" si="18"/>
        <v>0.60069444444444364</v>
      </c>
      <c r="C372" s="5">
        <f t="shared" si="19"/>
        <v>0.60416666666666585</v>
      </c>
      <c r="D372" s="44"/>
      <c r="E372" s="50"/>
      <c r="F372" s="44"/>
      <c r="G372" s="46"/>
      <c r="H372" s="73"/>
      <c r="I372" s="48"/>
      <c r="J372" s="49"/>
      <c r="K372" s="48"/>
      <c r="L372" s="49"/>
      <c r="M372" s="48"/>
      <c r="N372" s="49"/>
      <c r="O372" s="48"/>
      <c r="P372" s="49"/>
    </row>
    <row r="373" spans="1:16" ht="12.95" customHeight="1">
      <c r="A373" s="3" t="str">
        <f t="shared" si="17"/>
        <v>14:30 - 14:50Discussion</v>
      </c>
      <c r="B373" s="5">
        <f t="shared" si="18"/>
        <v>0.60416666666666585</v>
      </c>
      <c r="C373" s="5">
        <f t="shared" si="19"/>
        <v>0.60763888888888806</v>
      </c>
      <c r="D373" s="118"/>
      <c r="E373" s="50"/>
      <c r="F373" s="51" t="s">
        <v>283</v>
      </c>
      <c r="G373" s="46"/>
      <c r="H373" s="52" t="s">
        <v>45</v>
      </c>
      <c r="I373" s="48"/>
      <c r="J373" s="53"/>
      <c r="K373" s="48"/>
      <c r="L373" s="53"/>
      <c r="M373" s="48"/>
      <c r="N373" s="53"/>
      <c r="O373" s="48"/>
      <c r="P373" s="53"/>
    </row>
    <row r="374" spans="1:16" ht="12.95" hidden="1" customHeight="1">
      <c r="A374" s="3" t="str">
        <f t="shared" si="17"/>
        <v/>
      </c>
      <c r="B374" s="5">
        <f t="shared" si="18"/>
        <v>0.60763888888888806</v>
      </c>
      <c r="C374" s="5">
        <f t="shared" si="19"/>
        <v>0.61111111111111027</v>
      </c>
      <c r="D374" s="44"/>
      <c r="E374" s="50"/>
      <c r="F374" s="44"/>
      <c r="G374" s="46"/>
      <c r="H374" s="73"/>
      <c r="I374" s="48"/>
      <c r="J374" s="49"/>
      <c r="K374" s="48"/>
      <c r="L374" s="49"/>
      <c r="M374" s="48"/>
      <c r="N374" s="49"/>
      <c r="O374" s="48"/>
      <c r="P374" s="49"/>
    </row>
    <row r="375" spans="1:16" ht="12.95" hidden="1" customHeight="1">
      <c r="A375" s="3" t="str">
        <f t="shared" si="17"/>
        <v/>
      </c>
      <c r="B375" s="5">
        <f t="shared" si="18"/>
        <v>0.61111111111111027</v>
      </c>
      <c r="C375" s="5">
        <f t="shared" si="19"/>
        <v>0.61458333333333248</v>
      </c>
      <c r="D375" s="44"/>
      <c r="E375" s="50"/>
      <c r="F375" s="44"/>
      <c r="G375" s="46"/>
      <c r="H375" s="73"/>
      <c r="I375" s="48"/>
      <c r="J375" s="49"/>
      <c r="K375" s="48"/>
      <c r="L375" s="49"/>
      <c r="M375" s="48"/>
      <c r="N375" s="49"/>
      <c r="O375" s="48"/>
      <c r="P375" s="49"/>
    </row>
    <row r="376" spans="1:16" ht="12.95" hidden="1" customHeight="1">
      <c r="A376" s="3" t="str">
        <f t="shared" si="17"/>
        <v/>
      </c>
      <c r="B376" s="5">
        <f t="shared" si="18"/>
        <v>0.61458333333333248</v>
      </c>
      <c r="C376" s="5">
        <f t="shared" si="19"/>
        <v>0.61805555555555469</v>
      </c>
      <c r="D376" s="44"/>
      <c r="E376" s="50"/>
      <c r="F376" s="44"/>
      <c r="G376" s="46"/>
      <c r="H376" s="73"/>
      <c r="I376" s="48"/>
      <c r="J376" s="49"/>
      <c r="K376" s="48"/>
      <c r="L376" s="49"/>
      <c r="M376" s="48"/>
      <c r="N376" s="49"/>
      <c r="O376" s="48"/>
      <c r="P376" s="49"/>
    </row>
    <row r="377" spans="1:16" ht="12.95" customHeight="1">
      <c r="A377" s="3" t="str">
        <f t="shared" si="17"/>
        <v>14:50 - 15:10Break</v>
      </c>
      <c r="B377" s="5">
        <f t="shared" si="18"/>
        <v>0.61805555555555469</v>
      </c>
      <c r="C377" s="5">
        <f t="shared" si="19"/>
        <v>0.6215277777777769</v>
      </c>
      <c r="D377" s="114" t="s">
        <v>284</v>
      </c>
      <c r="E377" s="14" t="s">
        <v>24</v>
      </c>
      <c r="F377" s="13"/>
      <c r="G377" s="16"/>
      <c r="H377" s="70"/>
      <c r="I377" s="18"/>
      <c r="J377" s="19"/>
      <c r="K377" s="18"/>
      <c r="L377" s="19"/>
      <c r="M377" s="18"/>
      <c r="N377" s="19"/>
      <c r="O377" s="18"/>
      <c r="P377" s="19"/>
    </row>
    <row r="378" spans="1:16" ht="12.95" hidden="1" customHeight="1" thickBot="1">
      <c r="A378" s="3" t="str">
        <f t="shared" si="17"/>
        <v/>
      </c>
      <c r="B378" s="6">
        <f t="shared" si="18"/>
        <v>0.6215277777777769</v>
      </c>
      <c r="C378" s="6">
        <f t="shared" si="19"/>
        <v>0.62499999999999911</v>
      </c>
      <c r="D378" s="13"/>
      <c r="E378" s="14"/>
      <c r="F378" s="13"/>
      <c r="G378" s="16"/>
      <c r="H378" s="70"/>
      <c r="I378" s="18"/>
      <c r="J378" s="19"/>
      <c r="K378" s="18"/>
      <c r="L378" s="19"/>
      <c r="M378" s="18"/>
      <c r="N378" s="19"/>
      <c r="O378" s="18"/>
      <c r="P378" s="19"/>
    </row>
    <row r="379" spans="1:16" ht="12.95" hidden="1" customHeight="1">
      <c r="A379" s="3" t="str">
        <f t="shared" si="17"/>
        <v/>
      </c>
      <c r="B379" s="5">
        <f t="shared" si="18"/>
        <v>0.62499999999999911</v>
      </c>
      <c r="C379" s="5">
        <f t="shared" si="19"/>
        <v>0.62847222222222132</v>
      </c>
      <c r="D379" s="13"/>
      <c r="E379" s="14"/>
      <c r="F379" s="13"/>
      <c r="G379" s="16"/>
      <c r="H379" s="70"/>
      <c r="I379" s="18"/>
      <c r="J379" s="19"/>
      <c r="K379" s="18"/>
      <c r="L379" s="19"/>
      <c r="M379" s="18"/>
      <c r="N379" s="19"/>
      <c r="O379" s="18"/>
      <c r="P379" s="19"/>
    </row>
    <row r="380" spans="1:16" ht="12.95" hidden="1" customHeight="1">
      <c r="A380" s="3" t="str">
        <f t="shared" si="17"/>
        <v/>
      </c>
      <c r="B380" s="5">
        <f t="shared" si="18"/>
        <v>0.62847222222222132</v>
      </c>
      <c r="C380" s="5">
        <f t="shared" si="19"/>
        <v>0.63194444444444353</v>
      </c>
      <c r="D380" s="13"/>
      <c r="E380" s="14"/>
      <c r="F380" s="13"/>
      <c r="G380" s="16"/>
      <c r="H380" s="70"/>
      <c r="I380" s="18"/>
      <c r="J380" s="19"/>
      <c r="K380" s="18"/>
      <c r="L380" s="19"/>
      <c r="M380" s="18"/>
      <c r="N380" s="19"/>
      <c r="O380" s="18"/>
      <c r="P380" s="19"/>
    </row>
    <row r="381" spans="1:16" ht="12.95" customHeight="1">
      <c r="A381" s="3" t="str">
        <f t="shared" si="17"/>
        <v>15:10 - 17:10Catalytic Interfaces Presentation15:10 - 15:3082COLLABORATIVE PATHWAYS TO SUSTAINABLE DIGITAL INNOVATION IN AEC
By M. Hank Haeusler, Ivana Kuzmanovska, Christopher Bamborough, Mark Burry, Jane Burry, Michael Ostwald, Blair Kuys, Sisi Zlatanova, George Shinkle</v>
      </c>
      <c r="B381" s="5">
        <f t="shared" si="18"/>
        <v>0.63194444444444353</v>
      </c>
      <c r="C381" s="5">
        <f t="shared" si="19"/>
        <v>0.63541666666666574</v>
      </c>
      <c r="D381" s="117" t="s">
        <v>286</v>
      </c>
      <c r="E381" s="39" t="s">
        <v>285</v>
      </c>
      <c r="F381" s="38" t="s">
        <v>287</v>
      </c>
      <c r="G381" s="40">
        <v>82</v>
      </c>
      <c r="H381" s="76" t="s">
        <v>368</v>
      </c>
      <c r="I381" s="42"/>
      <c r="J381" s="43"/>
      <c r="K381" s="42"/>
      <c r="L381" s="43"/>
      <c r="M381" s="42"/>
      <c r="N381" s="43"/>
      <c r="O381" s="42"/>
      <c r="P381" s="43"/>
    </row>
    <row r="382" spans="1:16" ht="12.95" hidden="1" customHeight="1">
      <c r="A382" s="3" t="str">
        <f t="shared" si="17"/>
        <v/>
      </c>
      <c r="B382" s="5">
        <f t="shared" si="18"/>
        <v>0.63541666666666574</v>
      </c>
      <c r="C382" s="5">
        <f t="shared" si="19"/>
        <v>0.63888888888888795</v>
      </c>
      <c r="D382" s="38"/>
      <c r="E382" s="38"/>
      <c r="F382" s="38"/>
      <c r="G382" s="40"/>
      <c r="H382" s="72"/>
      <c r="I382" s="42"/>
      <c r="J382" s="43"/>
      <c r="K382" s="42"/>
      <c r="L382" s="43"/>
      <c r="M382" s="42"/>
      <c r="N382" s="43"/>
      <c r="O382" s="42"/>
      <c r="P382" s="43"/>
    </row>
    <row r="383" spans="1:16" ht="12.95" hidden="1" customHeight="1">
      <c r="A383" s="3" t="str">
        <f t="shared" si="17"/>
        <v/>
      </c>
      <c r="B383" s="5">
        <f t="shared" si="18"/>
        <v>0.63888888888888795</v>
      </c>
      <c r="C383" s="5">
        <f t="shared" si="19"/>
        <v>0.64236111111111016</v>
      </c>
      <c r="D383" s="38"/>
      <c r="E383" s="38"/>
      <c r="F383" s="38"/>
      <c r="G383" s="40"/>
      <c r="H383" s="72"/>
      <c r="I383" s="42"/>
      <c r="J383" s="43"/>
      <c r="K383" s="42"/>
      <c r="L383" s="43"/>
      <c r="M383" s="42"/>
      <c r="N383" s="43"/>
      <c r="O383" s="42"/>
      <c r="P383" s="43"/>
    </row>
    <row r="384" spans="1:16" ht="12.95" hidden="1" customHeight="1">
      <c r="A384" s="3" t="str">
        <f t="shared" si="17"/>
        <v/>
      </c>
      <c r="B384" s="5">
        <f t="shared" si="18"/>
        <v>0.64236111111111016</v>
      </c>
      <c r="C384" s="5">
        <f t="shared" si="19"/>
        <v>0.64583333333333237</v>
      </c>
      <c r="D384" s="38"/>
      <c r="E384" s="38"/>
      <c r="F384" s="38"/>
      <c r="G384" s="40"/>
      <c r="H384" s="72"/>
      <c r="I384" s="42"/>
      <c r="J384" s="43"/>
      <c r="K384" s="42"/>
      <c r="L384" s="43"/>
      <c r="M384" s="42"/>
      <c r="N384" s="43"/>
      <c r="O384" s="42"/>
      <c r="P384" s="43"/>
    </row>
    <row r="385" spans="1:16" ht="12.95" customHeight="1">
      <c r="A385" s="3" t="str">
        <f t="shared" si="17"/>
        <v>15:30 - 15:50330RETHINKING PARTICIPATORY ARCHITECTURAL DESIGN: HARNESSING IMMERSIVE ENVIRONMENTS &amp; AI FOR FACILITATING DESIGNER-STAKEHOLDER COLLABORATION
By Weiheng Hu,Yuval Kahlon, Momoko Nakatani, Haruyuki Fujii</v>
      </c>
      <c r="B385" s="5">
        <f t="shared" si="18"/>
        <v>0.64583333333333237</v>
      </c>
      <c r="C385" s="5">
        <f t="shared" si="19"/>
        <v>0.64930555555555458</v>
      </c>
      <c r="D385" s="117"/>
      <c r="E385" s="38"/>
      <c r="F385" s="38" t="s">
        <v>289</v>
      </c>
      <c r="G385" s="40">
        <v>330</v>
      </c>
      <c r="H385" s="72" t="s">
        <v>369</v>
      </c>
      <c r="I385" s="42"/>
      <c r="J385" s="43"/>
      <c r="K385" s="42"/>
      <c r="L385" s="43"/>
      <c r="M385" s="42"/>
      <c r="N385" s="43"/>
      <c r="O385" s="42"/>
      <c r="P385" s="43"/>
    </row>
    <row r="386" spans="1:16" ht="12.95" hidden="1" customHeight="1">
      <c r="A386" s="3" t="str">
        <f t="shared" si="17"/>
        <v/>
      </c>
      <c r="B386" s="5">
        <f t="shared" si="18"/>
        <v>0.64930555555555458</v>
      </c>
      <c r="C386" s="5">
        <f t="shared" si="19"/>
        <v>0.65277777777777679</v>
      </c>
      <c r="D386" s="38"/>
      <c r="E386" s="38"/>
      <c r="F386" s="38"/>
      <c r="G386" s="40"/>
      <c r="H386" s="72"/>
      <c r="I386" s="42"/>
      <c r="J386" s="43"/>
      <c r="K386" s="42"/>
      <c r="L386" s="43"/>
      <c r="M386" s="42"/>
      <c r="N386" s="43"/>
      <c r="O386" s="42"/>
      <c r="P386" s="43"/>
    </row>
    <row r="387" spans="1:16" ht="12.95" hidden="1" customHeight="1">
      <c r="A387" s="3" t="str">
        <f t="shared" si="17"/>
        <v/>
      </c>
      <c r="B387" s="5">
        <f t="shared" si="18"/>
        <v>0.65277777777777679</v>
      </c>
      <c r="C387" s="5">
        <f t="shared" si="19"/>
        <v>0.656249999999999</v>
      </c>
      <c r="D387" s="38"/>
      <c r="E387" s="38"/>
      <c r="F387" s="38"/>
      <c r="G387" s="40"/>
      <c r="H387" s="72"/>
      <c r="I387" s="42"/>
      <c r="J387" s="43"/>
      <c r="K387" s="42"/>
      <c r="L387" s="43"/>
      <c r="M387" s="42"/>
      <c r="N387" s="43"/>
      <c r="O387" s="42"/>
      <c r="P387" s="43"/>
    </row>
    <row r="388" spans="1:16" ht="12.95" hidden="1" customHeight="1">
      <c r="A388" s="3" t="str">
        <f t="shared" si="17"/>
        <v/>
      </c>
      <c r="B388" s="5">
        <f t="shared" si="18"/>
        <v>0.656249999999999</v>
      </c>
      <c r="C388" s="5">
        <f t="shared" si="19"/>
        <v>0.65972222222222121</v>
      </c>
      <c r="D388" s="38"/>
      <c r="E388" s="38"/>
      <c r="F388" s="38"/>
      <c r="G388" s="40"/>
      <c r="H388" s="72"/>
      <c r="I388" s="42"/>
      <c r="J388" s="43"/>
      <c r="K388" s="42"/>
      <c r="L388" s="43"/>
      <c r="M388" s="42"/>
      <c r="N388" s="43"/>
      <c r="O388" s="42"/>
      <c r="P388" s="43"/>
    </row>
    <row r="389" spans="1:16" ht="12.95" customHeight="1">
      <c r="A389" s="3" t="str">
        <f t="shared" si="17"/>
        <v>15:50 - 16:10389AUGMENTATION IN DESIGN AND FABRICATION: EXPANDING THE ROLE OF AR AND HUMAN-MACHINE COLLABORATION
By Igor Pantic, Soomeen Hahm, Peter Búš, Zhiyong Dong</v>
      </c>
      <c r="B389" s="5">
        <f t="shared" si="18"/>
        <v>0.65972222222222121</v>
      </c>
      <c r="C389" s="5">
        <f t="shared" si="19"/>
        <v>0.66319444444444342</v>
      </c>
      <c r="D389" s="117"/>
      <c r="E389" s="38"/>
      <c r="F389" s="38" t="s">
        <v>291</v>
      </c>
      <c r="G389" s="40">
        <v>389</v>
      </c>
      <c r="H389" s="72" t="s">
        <v>370</v>
      </c>
      <c r="I389" s="42"/>
      <c r="J389" s="43"/>
      <c r="K389" s="42"/>
      <c r="L389" s="43"/>
      <c r="M389" s="42"/>
      <c r="N389" s="43"/>
      <c r="O389" s="42"/>
      <c r="P389" s="43"/>
    </row>
    <row r="390" spans="1:16" ht="12.95" hidden="1" customHeight="1" thickBot="1">
      <c r="A390" s="3" t="str">
        <f t="shared" ref="A390:A426" si="20">_xlfn.CONCAT(D390:N390)</f>
        <v/>
      </c>
      <c r="B390" s="6">
        <f t="shared" si="18"/>
        <v>0.66319444444444342</v>
      </c>
      <c r="C390" s="6">
        <f t="shared" si="19"/>
        <v>0.66666666666666563</v>
      </c>
      <c r="D390" s="38"/>
      <c r="E390" s="38"/>
      <c r="F390" s="38"/>
      <c r="G390" s="40"/>
      <c r="H390" s="72"/>
      <c r="I390" s="42"/>
      <c r="J390" s="43"/>
      <c r="K390" s="42"/>
      <c r="L390" s="43"/>
      <c r="M390" s="42"/>
      <c r="N390" s="43"/>
      <c r="O390" s="42"/>
      <c r="P390" s="43"/>
    </row>
    <row r="391" spans="1:16" ht="12.95" hidden="1" customHeight="1">
      <c r="A391" s="3" t="str">
        <f t="shared" si="20"/>
        <v/>
      </c>
      <c r="B391" s="5">
        <f t="shared" si="18"/>
        <v>0.66666666666666563</v>
      </c>
      <c r="C391" s="5">
        <f t="shared" si="19"/>
        <v>0.67013888888888784</v>
      </c>
      <c r="D391" s="38"/>
      <c r="E391" s="38"/>
      <c r="F391" s="38"/>
      <c r="G391" s="40"/>
      <c r="H391" s="72"/>
      <c r="I391" s="42"/>
      <c r="J391" s="43"/>
      <c r="K391" s="42"/>
      <c r="L391" s="43"/>
      <c r="M391" s="42"/>
      <c r="N391" s="43"/>
      <c r="O391" s="42"/>
      <c r="P391" s="43"/>
    </row>
    <row r="392" spans="1:16" ht="12.95" hidden="1" customHeight="1">
      <c r="A392" s="3" t="str">
        <f t="shared" si="20"/>
        <v/>
      </c>
      <c r="B392" s="5">
        <f t="shared" si="18"/>
        <v>0.67013888888888784</v>
      </c>
      <c r="C392" s="5">
        <f t="shared" si="19"/>
        <v>0.67361111111111005</v>
      </c>
      <c r="D392" s="38"/>
      <c r="E392" s="38"/>
      <c r="F392" s="38"/>
      <c r="G392" s="40"/>
      <c r="H392" s="72"/>
      <c r="I392" s="42"/>
      <c r="J392" s="43"/>
      <c r="K392" s="42"/>
      <c r="L392" s="43"/>
      <c r="M392" s="42"/>
      <c r="N392" s="43"/>
      <c r="O392" s="42"/>
      <c r="P392" s="43"/>
    </row>
    <row r="393" spans="1:16" ht="12.95" customHeight="1">
      <c r="A393" s="3" t="str">
        <f t="shared" si="20"/>
        <v>16:10 - 16:30427TOWARD AIXR: DESIGNING A FRAMEWORK FOR AI-INFORMED HUMAN-ROBOT COLLABORATIVE ASSEMBLY OF NONUNIFORM MATERIAL IN EXTENDED REALITY
By Matias del Campo, Joseph Kenny, Eleni Vasiliki Alexi, Sandra Manninger, Dr. Daniela Mitterberger</v>
      </c>
      <c r="B393" s="5">
        <f t="shared" si="18"/>
        <v>0.67361111111111005</v>
      </c>
      <c r="C393" s="5">
        <f t="shared" si="19"/>
        <v>0.67708333333333226</v>
      </c>
      <c r="D393" s="117"/>
      <c r="E393" s="38"/>
      <c r="F393" s="38" t="s">
        <v>293</v>
      </c>
      <c r="G393" s="40">
        <v>427</v>
      </c>
      <c r="H393" s="72" t="s">
        <v>371</v>
      </c>
      <c r="I393" s="42"/>
      <c r="J393" s="43"/>
      <c r="K393" s="42"/>
      <c r="L393" s="43"/>
      <c r="M393" s="42"/>
      <c r="N393" s="43"/>
      <c r="O393" s="42"/>
      <c r="P393" s="43"/>
    </row>
    <row r="394" spans="1:16" ht="12.95" hidden="1" customHeight="1">
      <c r="A394" s="3" t="str">
        <f t="shared" si="20"/>
        <v/>
      </c>
      <c r="B394" s="5">
        <f t="shared" si="18"/>
        <v>0.67708333333333226</v>
      </c>
      <c r="C394" s="5">
        <f t="shared" si="19"/>
        <v>0.68055555555555447</v>
      </c>
      <c r="D394" s="38"/>
      <c r="E394" s="38"/>
      <c r="F394" s="38"/>
      <c r="G394" s="40"/>
      <c r="H394" s="72"/>
      <c r="I394" s="42"/>
      <c r="J394" s="43"/>
      <c r="K394" s="42"/>
      <c r="L394" s="43"/>
      <c r="M394" s="42"/>
      <c r="N394" s="43"/>
      <c r="O394" s="42"/>
      <c r="P394" s="43"/>
    </row>
    <row r="395" spans="1:16" ht="12.95" hidden="1" customHeight="1">
      <c r="A395" s="3" t="str">
        <f t="shared" si="20"/>
        <v/>
      </c>
      <c r="B395" s="5">
        <f t="shared" si="18"/>
        <v>0.68055555555555447</v>
      </c>
      <c r="C395" s="5">
        <f t="shared" si="19"/>
        <v>0.68402777777777668</v>
      </c>
      <c r="D395" s="38"/>
      <c r="E395" s="38"/>
      <c r="F395" s="38"/>
      <c r="G395" s="40"/>
      <c r="H395" s="72"/>
      <c r="I395" s="42"/>
      <c r="J395" s="43"/>
      <c r="K395" s="42"/>
      <c r="L395" s="43"/>
      <c r="M395" s="42"/>
      <c r="N395" s="43"/>
      <c r="O395" s="42"/>
      <c r="P395" s="43"/>
    </row>
    <row r="396" spans="1:16" ht="12.95" hidden="1" customHeight="1">
      <c r="A396" s="3" t="str">
        <f t="shared" si="20"/>
        <v/>
      </c>
      <c r="B396" s="5">
        <f t="shared" si="18"/>
        <v>0.68402777777777668</v>
      </c>
      <c r="C396" s="5">
        <f t="shared" si="19"/>
        <v>0.68749999999999889</v>
      </c>
      <c r="D396" s="38"/>
      <c r="E396" s="38"/>
      <c r="F396" s="38"/>
      <c r="G396" s="40"/>
      <c r="H396" s="72"/>
      <c r="I396" s="42"/>
      <c r="J396" s="43"/>
      <c r="K396" s="42"/>
      <c r="L396" s="43"/>
      <c r="M396" s="42"/>
      <c r="N396" s="43"/>
      <c r="O396" s="42"/>
      <c r="P396" s="43"/>
    </row>
    <row r="397" spans="1:16" ht="12.95" customHeight="1">
      <c r="A397" s="3" t="str">
        <f t="shared" si="20"/>
        <v>16:30 - 16:50445BUILDINGS AS SYMBIOTIC SYSTEMS: CYBERNETIC ADAPTATION BETWEEN TECHNICAL AND BIOLOGICAL SYSTEMS IN ARCHITECTURE
By Davide Schaumann, Andrew Vande Moere, Yuval Kahlon, Farahbod Heidari, Alex Binh Vinh Duc Nguyen, Yiming Liu, Umaru Mohammed Bongwirnso, Sihao Chen, Thomas Fischer, Christiane M. Herr</v>
      </c>
      <c r="B397" s="5">
        <f t="shared" si="18"/>
        <v>0.68749999999999889</v>
      </c>
      <c r="C397" s="5">
        <f t="shared" si="19"/>
        <v>0.6909722222222211</v>
      </c>
      <c r="D397" s="117"/>
      <c r="E397" s="38"/>
      <c r="F397" s="38" t="s">
        <v>296</v>
      </c>
      <c r="G397" s="40">
        <v>445</v>
      </c>
      <c r="H397" s="72" t="s">
        <v>372</v>
      </c>
      <c r="I397" s="42"/>
      <c r="J397" s="43"/>
      <c r="K397" s="42"/>
      <c r="L397" s="43"/>
      <c r="M397" s="42"/>
      <c r="N397" s="43"/>
      <c r="O397" s="42"/>
      <c r="P397" s="43"/>
    </row>
    <row r="398" spans="1:16" ht="12.95" hidden="1" customHeight="1">
      <c r="A398" s="3" t="str">
        <f t="shared" si="20"/>
        <v/>
      </c>
      <c r="B398" s="5">
        <f t="shared" si="18"/>
        <v>0.6909722222222211</v>
      </c>
      <c r="C398" s="5">
        <f t="shared" si="19"/>
        <v>0.69444444444444331</v>
      </c>
      <c r="D398" s="38"/>
      <c r="E398" s="38"/>
      <c r="F398" s="38"/>
      <c r="G398" s="40"/>
      <c r="H398" s="72"/>
      <c r="I398" s="42"/>
      <c r="J398" s="43"/>
      <c r="K398" s="42"/>
      <c r="L398" s="43"/>
      <c r="M398" s="42"/>
      <c r="N398" s="43"/>
      <c r="O398" s="42"/>
      <c r="P398" s="43"/>
    </row>
    <row r="399" spans="1:16" ht="12.95" hidden="1" customHeight="1">
      <c r="A399" s="3" t="str">
        <f t="shared" si="20"/>
        <v/>
      </c>
      <c r="B399" s="5">
        <f t="shared" si="18"/>
        <v>0.69444444444444331</v>
      </c>
      <c r="C399" s="5">
        <f t="shared" si="19"/>
        <v>0.69791666666666552</v>
      </c>
      <c r="D399" s="38"/>
      <c r="E399" s="38"/>
      <c r="F399" s="38"/>
      <c r="G399" s="40"/>
      <c r="H399" s="72"/>
      <c r="I399" s="42"/>
      <c r="J399" s="43"/>
      <c r="K399" s="42"/>
      <c r="L399" s="43"/>
      <c r="M399" s="42"/>
      <c r="N399" s="43"/>
      <c r="O399" s="42"/>
      <c r="P399" s="43"/>
    </row>
    <row r="400" spans="1:16" ht="12.95" hidden="1" customHeight="1">
      <c r="A400" s="3" t="str">
        <f t="shared" si="20"/>
        <v/>
      </c>
      <c r="B400" s="5">
        <f t="shared" si="18"/>
        <v>0.69791666666666552</v>
      </c>
      <c r="C400" s="5">
        <f t="shared" si="19"/>
        <v>0.70138888888888773</v>
      </c>
      <c r="D400" s="38"/>
      <c r="E400" s="38"/>
      <c r="F400" s="38"/>
      <c r="G400" s="40"/>
      <c r="H400" s="72"/>
      <c r="I400" s="42"/>
      <c r="J400" s="43"/>
      <c r="K400" s="42"/>
      <c r="L400" s="43"/>
      <c r="M400" s="42"/>
      <c r="N400" s="43"/>
      <c r="O400" s="42"/>
      <c r="P400" s="43"/>
    </row>
    <row r="401" spans="1:16" ht="12.95" customHeight="1">
      <c r="A401" s="3" t="str">
        <f t="shared" si="20"/>
        <v>16:50 - 17:10TBDCI Team 6</v>
      </c>
      <c r="B401" s="5">
        <f t="shared" si="18"/>
        <v>0.70138888888888773</v>
      </c>
      <c r="C401" s="5">
        <f t="shared" si="19"/>
        <v>0.70486111111110994</v>
      </c>
      <c r="D401" s="117"/>
      <c r="E401" s="38"/>
      <c r="F401" s="26" t="s">
        <v>298</v>
      </c>
      <c r="G401" s="27" t="s">
        <v>373</v>
      </c>
      <c r="H401" s="77" t="s">
        <v>374</v>
      </c>
      <c r="I401" s="42"/>
      <c r="J401" s="43"/>
      <c r="K401" s="42"/>
      <c r="L401" s="43"/>
      <c r="M401" s="42"/>
      <c r="N401" s="43"/>
      <c r="O401" s="42"/>
      <c r="P401" s="43"/>
    </row>
    <row r="402" spans="1:16" ht="12.95" hidden="1" customHeight="1" thickBot="1">
      <c r="A402" s="3" t="str">
        <f t="shared" si="20"/>
        <v/>
      </c>
      <c r="B402" s="6">
        <f t="shared" si="18"/>
        <v>0.70486111111110994</v>
      </c>
      <c r="C402" s="6">
        <f t="shared" si="19"/>
        <v>0.70833333333333215</v>
      </c>
      <c r="D402" s="38"/>
      <c r="E402" s="38"/>
      <c r="F402" s="38"/>
      <c r="G402" s="40"/>
      <c r="H402" s="72"/>
      <c r="I402" s="42"/>
      <c r="J402" s="43"/>
      <c r="K402" s="42"/>
      <c r="L402" s="43"/>
      <c r="M402" s="42"/>
      <c r="N402" s="43"/>
      <c r="O402" s="42"/>
      <c r="P402" s="43"/>
    </row>
    <row r="403" spans="1:16" ht="12.95" hidden="1" customHeight="1">
      <c r="A403" s="3" t="str">
        <f t="shared" si="20"/>
        <v/>
      </c>
      <c r="B403" s="5">
        <f t="shared" si="18"/>
        <v>0.70833333333333215</v>
      </c>
      <c r="C403" s="5">
        <f t="shared" si="19"/>
        <v>0.71180555555555436</v>
      </c>
      <c r="D403" s="38"/>
      <c r="E403" s="38"/>
      <c r="F403" s="38"/>
      <c r="G403" s="40"/>
      <c r="H403" s="72"/>
      <c r="I403" s="42"/>
      <c r="J403" s="43"/>
      <c r="K403" s="42"/>
      <c r="L403" s="43"/>
      <c r="M403" s="42"/>
      <c r="N403" s="43"/>
      <c r="O403" s="42"/>
      <c r="P403" s="43"/>
    </row>
    <row r="404" spans="1:16" ht="12.95" hidden="1" customHeight="1">
      <c r="A404" s="3" t="str">
        <f t="shared" si="20"/>
        <v/>
      </c>
      <c r="B404" s="5">
        <f t="shared" si="18"/>
        <v>0.71180555555555436</v>
      </c>
      <c r="C404" s="5">
        <f t="shared" si="19"/>
        <v>0.71527777777777657</v>
      </c>
      <c r="D404" s="38"/>
      <c r="E404" s="38"/>
      <c r="F404" s="38"/>
      <c r="G404" s="40"/>
      <c r="H404" s="72"/>
      <c r="I404" s="42"/>
      <c r="J404" s="43"/>
      <c r="K404" s="42"/>
      <c r="L404" s="43"/>
      <c r="M404" s="42"/>
      <c r="N404" s="43"/>
      <c r="O404" s="42"/>
      <c r="P404" s="43"/>
    </row>
    <row r="405" spans="1:16" ht="12.95" customHeight="1">
      <c r="A405" s="3" t="str">
        <f t="shared" si="20"/>
        <v>17:10 - 17:30Break</v>
      </c>
      <c r="B405" s="5">
        <f t="shared" si="18"/>
        <v>0.71527777777777657</v>
      </c>
      <c r="C405" s="5">
        <f t="shared" si="19"/>
        <v>0.71874999999999878</v>
      </c>
      <c r="D405" s="114" t="s">
        <v>300</v>
      </c>
      <c r="E405" s="14" t="s">
        <v>24</v>
      </c>
      <c r="F405" s="13"/>
      <c r="G405" s="16"/>
      <c r="H405" s="70"/>
      <c r="I405" s="18"/>
      <c r="J405" s="19"/>
      <c r="K405" s="18"/>
      <c r="L405" s="19"/>
      <c r="M405" s="18"/>
      <c r="N405" s="19"/>
      <c r="O405" s="18"/>
      <c r="P405" s="19"/>
    </row>
    <row r="406" spans="1:16" ht="12.95" hidden="1" customHeight="1">
      <c r="A406" s="3" t="str">
        <f t="shared" si="20"/>
        <v/>
      </c>
      <c r="B406" s="5">
        <f t="shared" si="18"/>
        <v>0.71874999999999878</v>
      </c>
      <c r="C406" s="5">
        <f t="shared" si="19"/>
        <v>0.72222222222222099</v>
      </c>
      <c r="D406" s="13"/>
      <c r="E406" s="14"/>
      <c r="F406" s="13"/>
      <c r="G406" s="16"/>
      <c r="H406" s="70"/>
      <c r="I406" s="18"/>
      <c r="J406" s="19"/>
      <c r="K406" s="18"/>
      <c r="L406" s="19"/>
      <c r="M406" s="18"/>
      <c r="N406" s="19"/>
      <c r="O406" s="18"/>
      <c r="P406" s="19"/>
    </row>
    <row r="407" spans="1:16" ht="12.95" hidden="1" customHeight="1">
      <c r="A407" s="3" t="str">
        <f t="shared" si="20"/>
        <v/>
      </c>
      <c r="B407" s="5">
        <f t="shared" si="18"/>
        <v>0.72222222222222099</v>
      </c>
      <c r="C407" s="5">
        <f t="shared" si="19"/>
        <v>0.7256944444444432</v>
      </c>
      <c r="D407" s="13"/>
      <c r="E407" s="14"/>
      <c r="F407" s="13"/>
      <c r="G407" s="16"/>
      <c r="H407" s="70"/>
      <c r="I407" s="18"/>
      <c r="J407" s="19"/>
      <c r="K407" s="18"/>
      <c r="L407" s="19"/>
      <c r="M407" s="18"/>
      <c r="N407" s="19"/>
      <c r="O407" s="18"/>
      <c r="P407" s="19"/>
    </row>
    <row r="408" spans="1:16" ht="12.95" hidden="1" customHeight="1">
      <c r="A408" s="3" t="str">
        <f t="shared" si="20"/>
        <v/>
      </c>
      <c r="B408" s="5">
        <f t="shared" si="18"/>
        <v>0.7256944444444432</v>
      </c>
      <c r="C408" s="5">
        <f t="shared" si="19"/>
        <v>0.72916666666666541</v>
      </c>
      <c r="D408" s="13"/>
      <c r="E408" s="14"/>
      <c r="F408" s="13"/>
      <c r="G408" s="16"/>
      <c r="H408" s="70"/>
      <c r="I408" s="18"/>
      <c r="J408" s="19"/>
      <c r="K408" s="18"/>
      <c r="L408" s="19"/>
      <c r="M408" s="18"/>
      <c r="N408" s="19"/>
      <c r="O408" s="18"/>
      <c r="P408" s="19"/>
    </row>
    <row r="409" spans="1:16" ht="12.95" customHeight="1">
      <c r="A409" s="3" t="str">
        <f t="shared" si="20"/>
        <v>17:30 - 18:30Keynote 5: WILSON LU</v>
      </c>
      <c r="B409" s="5">
        <f t="shared" si="18"/>
        <v>0.72916666666666541</v>
      </c>
      <c r="C409" s="5">
        <f t="shared" si="19"/>
        <v>0.73263888888888762</v>
      </c>
      <c r="D409" s="121" t="s">
        <v>302</v>
      </c>
      <c r="E409" s="33" t="s">
        <v>301</v>
      </c>
      <c r="F409" s="32"/>
      <c r="G409" s="34"/>
      <c r="H409" s="71"/>
      <c r="I409" s="36"/>
      <c r="J409" s="37"/>
      <c r="K409" s="36"/>
      <c r="L409" s="37"/>
      <c r="M409" s="36"/>
      <c r="N409" s="37"/>
      <c r="O409" s="36"/>
      <c r="P409" s="37"/>
    </row>
    <row r="410" spans="1:16" ht="12.95" hidden="1" customHeight="1">
      <c r="A410" s="3" t="str">
        <f t="shared" si="20"/>
        <v/>
      </c>
      <c r="B410" s="5">
        <f t="shared" si="18"/>
        <v>0.73263888888888762</v>
      </c>
      <c r="C410" s="5">
        <f t="shared" si="19"/>
        <v>0.73611111111110983</v>
      </c>
      <c r="D410" s="79"/>
      <c r="E410" s="78"/>
      <c r="F410" s="79"/>
      <c r="G410" s="80"/>
      <c r="H410" s="81"/>
      <c r="I410" s="36"/>
      <c r="J410" s="37"/>
      <c r="K410" s="36"/>
      <c r="L410" s="37"/>
      <c r="M410" s="36"/>
      <c r="N410" s="37"/>
      <c r="O410" s="36"/>
      <c r="P410" s="37"/>
    </row>
    <row r="411" spans="1:16" ht="12.95" hidden="1" customHeight="1">
      <c r="A411" s="3" t="str">
        <f t="shared" si="20"/>
        <v/>
      </c>
      <c r="B411" s="5">
        <f t="shared" si="18"/>
        <v>0.73611111111110983</v>
      </c>
      <c r="C411" s="5">
        <f t="shared" si="19"/>
        <v>0.73958333333333204</v>
      </c>
      <c r="D411" s="79"/>
      <c r="E411" s="78"/>
      <c r="F411" s="79"/>
      <c r="G411" s="80"/>
      <c r="H411" s="81"/>
      <c r="I411" s="36"/>
      <c r="J411" s="37"/>
      <c r="K411" s="36"/>
      <c r="L411" s="37"/>
      <c r="M411" s="36"/>
      <c r="N411" s="37"/>
      <c r="O411" s="36"/>
      <c r="P411" s="37"/>
    </row>
    <row r="412" spans="1:16" ht="12.95" hidden="1" customHeight="1">
      <c r="A412" s="3" t="str">
        <f t="shared" si="20"/>
        <v/>
      </c>
      <c r="B412" s="5">
        <f t="shared" si="18"/>
        <v>0.73958333333333204</v>
      </c>
      <c r="C412" s="5">
        <f t="shared" si="19"/>
        <v>0.74305555555555425</v>
      </c>
      <c r="D412" s="79"/>
      <c r="E412" s="78"/>
      <c r="F412" s="79"/>
      <c r="G412" s="80"/>
      <c r="H412" s="81"/>
      <c r="I412" s="36"/>
      <c r="J412" s="37"/>
      <c r="K412" s="36"/>
      <c r="L412" s="37"/>
      <c r="M412" s="36"/>
      <c r="N412" s="37"/>
      <c r="O412" s="36"/>
      <c r="P412" s="37"/>
    </row>
    <row r="413" spans="1:16" ht="12.95" hidden="1" customHeight="1">
      <c r="A413" s="3" t="str">
        <f t="shared" si="20"/>
        <v/>
      </c>
      <c r="B413" s="5">
        <f t="shared" si="18"/>
        <v>0.74305555555555425</v>
      </c>
      <c r="C413" s="5">
        <f t="shared" si="19"/>
        <v>0.74652777777777646</v>
      </c>
      <c r="D413" s="79"/>
      <c r="E413" s="78"/>
      <c r="F413" s="79"/>
      <c r="G413" s="80"/>
      <c r="H413" s="81"/>
      <c r="I413" s="36"/>
      <c r="J413" s="37"/>
      <c r="K413" s="36"/>
      <c r="L413" s="37"/>
      <c r="M413" s="36"/>
      <c r="N413" s="37"/>
      <c r="O413" s="36"/>
      <c r="P413" s="37"/>
    </row>
    <row r="414" spans="1:16" ht="12.95" hidden="1" customHeight="1" thickBot="1">
      <c r="A414" s="3" t="str">
        <f t="shared" si="20"/>
        <v/>
      </c>
      <c r="B414" s="6">
        <f t="shared" si="18"/>
        <v>0.74652777777777646</v>
      </c>
      <c r="C414" s="6">
        <f t="shared" si="19"/>
        <v>0.74999999999999867</v>
      </c>
      <c r="D414" s="79"/>
      <c r="E414" s="78"/>
      <c r="F414" s="79"/>
      <c r="G414" s="80"/>
      <c r="H414" s="81"/>
      <c r="I414" s="36"/>
      <c r="J414" s="37"/>
      <c r="K414" s="36"/>
      <c r="L414" s="37"/>
      <c r="M414" s="36"/>
      <c r="N414" s="37"/>
      <c r="O414" s="36"/>
      <c r="P414" s="37"/>
    </row>
    <row r="415" spans="1:16" ht="12.95" hidden="1" customHeight="1">
      <c r="A415" s="3" t="str">
        <f t="shared" si="20"/>
        <v/>
      </c>
      <c r="B415" s="5">
        <f t="shared" si="18"/>
        <v>0.74999999999999867</v>
      </c>
      <c r="C415" s="5">
        <f t="shared" si="19"/>
        <v>0.75347222222222088</v>
      </c>
      <c r="D415" s="79"/>
      <c r="E415" s="78"/>
      <c r="F415" s="79"/>
      <c r="G415" s="80"/>
      <c r="H415" s="81"/>
      <c r="I415" s="36"/>
      <c r="J415" s="37"/>
      <c r="K415" s="36"/>
      <c r="L415" s="37"/>
      <c r="M415" s="36"/>
      <c r="N415" s="37"/>
      <c r="O415" s="36"/>
      <c r="P415" s="37"/>
    </row>
    <row r="416" spans="1:16" ht="12.95" hidden="1" customHeight="1">
      <c r="A416" s="3" t="str">
        <f t="shared" si="20"/>
        <v/>
      </c>
      <c r="B416" s="5">
        <f t="shared" si="18"/>
        <v>0.75347222222222088</v>
      </c>
      <c r="C416" s="5">
        <f t="shared" si="19"/>
        <v>0.75694444444444309</v>
      </c>
      <c r="D416" s="79"/>
      <c r="E416" s="78"/>
      <c r="F416" s="79"/>
      <c r="G416" s="80"/>
      <c r="H416" s="81"/>
      <c r="I416" s="36"/>
      <c r="J416" s="37"/>
      <c r="K416" s="36"/>
      <c r="L416" s="37"/>
      <c r="M416" s="36"/>
      <c r="N416" s="37"/>
      <c r="O416" s="36"/>
      <c r="P416" s="37"/>
    </row>
    <row r="417" spans="1:16" ht="12.95" hidden="1" customHeight="1">
      <c r="A417" s="3" t="str">
        <f t="shared" si="20"/>
        <v/>
      </c>
      <c r="B417" s="5">
        <f t="shared" si="18"/>
        <v>0.75694444444444309</v>
      </c>
      <c r="C417" s="5">
        <f t="shared" si="19"/>
        <v>0.7604166666666653</v>
      </c>
      <c r="D417" s="79"/>
      <c r="E417" s="78"/>
      <c r="F417" s="79"/>
      <c r="G417" s="80"/>
      <c r="H417" s="81"/>
      <c r="I417" s="36"/>
      <c r="J417" s="37"/>
      <c r="K417" s="36"/>
      <c r="L417" s="37"/>
      <c r="M417" s="36"/>
      <c r="N417" s="37"/>
      <c r="O417" s="36"/>
      <c r="P417" s="37"/>
    </row>
    <row r="418" spans="1:16" ht="12.95" hidden="1" customHeight="1">
      <c r="A418" s="3" t="str">
        <f t="shared" si="20"/>
        <v/>
      </c>
      <c r="B418" s="5">
        <f t="shared" si="18"/>
        <v>0.7604166666666653</v>
      </c>
      <c r="C418" s="5">
        <f t="shared" si="19"/>
        <v>0.76388888888888751</v>
      </c>
      <c r="D418" s="79"/>
      <c r="E418" s="78"/>
      <c r="F418" s="79"/>
      <c r="G418" s="80"/>
      <c r="H418" s="81"/>
      <c r="I418" s="36"/>
      <c r="J418" s="37"/>
      <c r="K418" s="36"/>
      <c r="L418" s="37"/>
      <c r="M418" s="36"/>
      <c r="N418" s="37"/>
      <c r="O418" s="36"/>
      <c r="P418" s="37"/>
    </row>
    <row r="419" spans="1:16" ht="12.95" hidden="1" customHeight="1">
      <c r="A419" s="3" t="str">
        <f t="shared" si="20"/>
        <v/>
      </c>
      <c r="B419" s="5">
        <f t="shared" si="18"/>
        <v>0.76388888888888751</v>
      </c>
      <c r="C419" s="5">
        <f t="shared" si="19"/>
        <v>0.76736111111110972</v>
      </c>
      <c r="D419" s="79"/>
      <c r="E419" s="78"/>
      <c r="F419" s="79"/>
      <c r="G419" s="80"/>
      <c r="H419" s="81"/>
      <c r="I419" s="36"/>
      <c r="J419" s="37"/>
      <c r="K419" s="36"/>
      <c r="L419" s="37"/>
      <c r="M419" s="36"/>
      <c r="N419" s="37"/>
      <c r="O419" s="36"/>
      <c r="P419" s="37"/>
    </row>
    <row r="420" spans="1:16" ht="12.95" hidden="1" customHeight="1">
      <c r="A420" s="3" t="str">
        <f t="shared" si="20"/>
        <v/>
      </c>
      <c r="B420" s="5">
        <f t="shared" si="18"/>
        <v>0.76736111111110972</v>
      </c>
      <c r="C420" s="5">
        <f t="shared" si="19"/>
        <v>0.77083333333333193</v>
      </c>
      <c r="D420" s="79"/>
      <c r="E420" s="78"/>
      <c r="F420" s="79"/>
      <c r="G420" s="80"/>
      <c r="H420" s="81"/>
      <c r="I420" s="36"/>
      <c r="J420" s="37"/>
      <c r="K420" s="36"/>
      <c r="L420" s="37"/>
      <c r="M420" s="36"/>
      <c r="N420" s="37"/>
      <c r="O420" s="36"/>
      <c r="P420" s="37"/>
    </row>
    <row r="421" spans="1:16" ht="12.95" customHeight="1">
      <c r="A421" s="3" t="str">
        <f t="shared" si="20"/>
        <v>18:30 -19:00Closing Remarks</v>
      </c>
      <c r="B421" s="5">
        <f t="shared" si="18"/>
        <v>0.77083333333333193</v>
      </c>
      <c r="C421" s="5">
        <f t="shared" si="19"/>
        <v>0.77430555555555414</v>
      </c>
      <c r="D421" s="115" t="s">
        <v>304</v>
      </c>
      <c r="E421" s="21" t="s">
        <v>303</v>
      </c>
      <c r="F421" s="20"/>
      <c r="G421" s="22"/>
      <c r="H421" s="75"/>
      <c r="I421" s="24"/>
      <c r="J421" s="25"/>
      <c r="K421" s="24"/>
      <c r="L421" s="25"/>
      <c r="M421" s="24"/>
      <c r="N421" s="25"/>
      <c r="O421" s="24"/>
      <c r="P421" s="25"/>
    </row>
    <row r="422" spans="1:16" ht="12.95" hidden="1" customHeight="1">
      <c r="A422" s="3" t="str">
        <f t="shared" si="20"/>
        <v/>
      </c>
      <c r="B422" s="5">
        <f t="shared" si="18"/>
        <v>0.77430555555555414</v>
      </c>
      <c r="C422" s="5">
        <f t="shared" si="19"/>
        <v>0.77777777777777635</v>
      </c>
      <c r="D422" s="82"/>
      <c r="E422" s="83"/>
      <c r="F422" s="82"/>
      <c r="G422" s="84"/>
      <c r="H422" s="85"/>
      <c r="I422" s="24"/>
      <c r="J422" s="25"/>
      <c r="K422" s="24"/>
      <c r="L422" s="25"/>
      <c r="M422" s="24"/>
      <c r="N422" s="25"/>
      <c r="O422" s="24"/>
      <c r="P422" s="25"/>
    </row>
    <row r="423" spans="1:16" ht="12.95" hidden="1" customHeight="1">
      <c r="A423" s="3" t="str">
        <f t="shared" si="20"/>
        <v/>
      </c>
      <c r="B423" s="5">
        <f t="shared" si="18"/>
        <v>0.77777777777777635</v>
      </c>
      <c r="C423" s="5">
        <f t="shared" si="19"/>
        <v>0.78124999999999856</v>
      </c>
      <c r="D423" s="82"/>
      <c r="E423" s="83"/>
      <c r="F423" s="83"/>
      <c r="G423" s="86"/>
      <c r="H423" s="87"/>
      <c r="I423" s="86"/>
      <c r="J423" s="88"/>
      <c r="K423" s="86"/>
      <c r="L423" s="88"/>
      <c r="M423" s="86"/>
      <c r="N423" s="88"/>
      <c r="O423" s="86"/>
      <c r="P423" s="88"/>
    </row>
    <row r="424" spans="1:16" ht="12.95" hidden="1" customHeight="1">
      <c r="A424" s="3" t="str">
        <f t="shared" si="20"/>
        <v/>
      </c>
      <c r="B424" s="5">
        <f t="shared" si="18"/>
        <v>0.78124999999999856</v>
      </c>
      <c r="C424" s="5">
        <f t="shared" si="19"/>
        <v>0.78472222222222077</v>
      </c>
      <c r="D424" s="82"/>
      <c r="E424" s="83"/>
      <c r="F424" s="83"/>
      <c r="G424" s="86"/>
      <c r="H424" s="87"/>
      <c r="I424" s="86"/>
      <c r="J424" s="88"/>
      <c r="K424" s="86"/>
      <c r="L424" s="88"/>
      <c r="M424" s="86"/>
      <c r="N424" s="88"/>
      <c r="O424" s="86"/>
      <c r="P424" s="88"/>
    </row>
    <row r="425" spans="1:16" ht="12.95" hidden="1" customHeight="1">
      <c r="A425" s="3" t="str">
        <f t="shared" si="20"/>
        <v/>
      </c>
      <c r="B425" s="5">
        <f t="shared" si="18"/>
        <v>0.78472222222222077</v>
      </c>
      <c r="C425" s="5">
        <f t="shared" si="19"/>
        <v>0.78819444444444298</v>
      </c>
      <c r="D425" s="82"/>
      <c r="E425" s="83"/>
      <c r="F425" s="83"/>
      <c r="G425" s="86"/>
      <c r="H425" s="87"/>
      <c r="I425" s="86"/>
      <c r="J425" s="88"/>
      <c r="K425" s="86"/>
      <c r="L425" s="88"/>
      <c r="M425" s="86"/>
      <c r="N425" s="88"/>
      <c r="O425" s="86"/>
      <c r="P425" s="88"/>
    </row>
    <row r="426" spans="1:16" ht="12.95" hidden="1" customHeight="1" thickBot="1">
      <c r="A426" s="3" t="str">
        <f t="shared" si="20"/>
        <v/>
      </c>
      <c r="B426" s="6">
        <f t="shared" si="18"/>
        <v>0.78819444444444298</v>
      </c>
      <c r="C426" s="6">
        <f t="shared" si="19"/>
        <v>0.79166666666666519</v>
      </c>
      <c r="D426" s="82"/>
      <c r="E426" s="83"/>
      <c r="F426" s="83"/>
      <c r="G426" s="86"/>
      <c r="H426" s="87"/>
      <c r="I426" s="86"/>
      <c r="J426" s="88"/>
      <c r="K426" s="86"/>
      <c r="L426" s="88"/>
      <c r="M426" s="86"/>
      <c r="N426" s="88"/>
      <c r="O426" s="86"/>
      <c r="P426" s="88"/>
    </row>
  </sheetData>
  <autoFilter ref="A1:A426" xr:uid="{C21CB3F9-4A69-422E-B5C4-ED634954499A}">
    <filterColumn colId="0">
      <customFilters>
        <customFilter operator="notEqual" val=" "/>
      </custom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31a0d3-dcc8-4391-b050-56a06f87e6cb" xsi:nil="true"/>
    <lcf76f155ced4ddcb4097134ff3c332f xmlns="e56ae746-f10a-44e1-af54-ad27f18c3e7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337631AB955B4B8E98F6719F77BDFE" ma:contentTypeVersion="15" ma:contentTypeDescription="Create a new document." ma:contentTypeScope="" ma:versionID="20cdad5b7969e12d703a938bbab47dd3">
  <xsd:schema xmlns:xsd="http://www.w3.org/2001/XMLSchema" xmlns:xs="http://www.w3.org/2001/XMLSchema" xmlns:p="http://schemas.microsoft.com/office/2006/metadata/properties" xmlns:ns2="e56ae746-f10a-44e1-af54-ad27f18c3e7c" xmlns:ns3="f531a0d3-dcc8-4391-b050-56a06f87e6cb" targetNamespace="http://schemas.microsoft.com/office/2006/metadata/properties" ma:root="true" ma:fieldsID="9fac52b61886c25692f28efafe08e037" ns2:_="" ns3:_="">
    <xsd:import namespace="e56ae746-f10a-44e1-af54-ad27f18c3e7c"/>
    <xsd:import namespace="f531a0d3-dcc8-4391-b050-56a06f87e6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6ae746-f10a-44e1-af54-ad27f18c3e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717eb59-a66e-4a6c-9b74-376682b8c69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31a0d3-dcc8-4391-b050-56a06f87e6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5bfbf53-b89e-408d-b246-98cea89d18e8}" ma:internalName="TaxCatchAll" ma:showField="CatchAllData" ma:web="f531a0d3-dcc8-4391-b050-56a06f87e6c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16135B-0ECF-422A-9C4E-623F539F5207}"/>
</file>

<file path=customXml/itemProps2.xml><?xml version="1.0" encoding="utf-8"?>
<ds:datastoreItem xmlns:ds="http://schemas.openxmlformats.org/officeDocument/2006/customXml" ds:itemID="{02C3D6FE-7162-43F5-8ED8-695F7C5BCC2A}"/>
</file>

<file path=customXml/itemProps3.xml><?xml version="1.0" encoding="utf-8"?>
<ds:datastoreItem xmlns:ds="http://schemas.openxmlformats.org/officeDocument/2006/customXml" ds:itemID="{711E3558-B6AC-4CCC-890A-3882B2A432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Kristof Crolla</dc:creator>
  <cp:keywords/>
  <dc:description/>
  <cp:lastModifiedBy/>
  <cp:revision/>
  <dcterms:created xsi:type="dcterms:W3CDTF">2025-06-19T09:26:23Z</dcterms:created>
  <dcterms:modified xsi:type="dcterms:W3CDTF">2025-06-24T10:12:40Z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0x010100EA337631AB955B4B8E98F6719F77BDFE</vt:lpwstr>
  </property>
  <property fmtid="{D5CDD505-2E9C-101B-9397-08002B2CF9AE}" pid="3" name="MediaServiceImageTags">
    <vt:lpwstr/>
  </property>
</Properties>
</file>